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CAP DATA ROD" sheetId="1" state="visible" r:id="rId3"/>
    <sheet name="Feuille2" sheetId="2" state="visible" r:id="rId4"/>
    <sheet name="Feuille3" sheetId="3" state="visible" r:id="rId5"/>
  </sheets>
  <definedNames>
    <definedName function="false" hidden="true" localSheetId="0" name="_xlnm._FilterDatabase" vbProcedure="false">'RECAP DATA ROD'!$B$3:$J$3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<sst xmlns="http://schemas.openxmlformats.org/spreadsheetml/2006/main" count="2448" uniqueCount="241">
  <si>
    <t xml:space="preserve">IBIS BUDGET</t>
  </si>
  <si>
    <t xml:space="preserve">IBIS STYLES</t>
  </si>
  <si>
    <t xml:space="preserve">NOVOTEL</t>
  </si>
  <si>
    <t xml:space="preserve">MERCURE</t>
  </si>
  <si>
    <t xml:space="preserve">ETAPE ROD</t>
  </si>
  <si>
    <t xml:space="preserve">SOUS-ETAPE ROD</t>
  </si>
  <si>
    <t xml:space="preserve">DATA</t>
  </si>
  <si>
    <t xml:space="preserve">DÉJÀ DANS ROD AU MOMENT OU LE USER SE CONNECTE ?</t>
  </si>
  <si>
    <t xml:space="preserve">ACCOR API
PORTFOLIO ?</t>
  </si>
  <si>
    <t xml:space="preserve">BDD ACCOR
(SOURCE)</t>
  </si>
  <si>
    <t xml:space="preserve">LE USER PEUT MODIFIER DANS ROD ?</t>
  </si>
  <si>
    <t xml:space="preserve">DATA EXPLOITEE
DANS LA SIMULATION ACTUELLEMENT ?</t>
  </si>
  <si>
    <t xml:space="preserve">COMMENTAIRE THOMAS (INNOLAB)</t>
  </si>
  <si>
    <t xml:space="preserve">NICE</t>
  </si>
  <si>
    <t xml:space="preserve">STRASBOURG</t>
  </si>
  <si>
    <t xml:space="preserve">PARIS CDG</t>
  </si>
  <si>
    <t xml:space="preserve">MEGEVE</t>
  </si>
  <si>
    <t xml:space="preserve">TOUR EIFFEL</t>
  </si>
  <si>
    <t xml:space="preserve">MONTMARTRE</t>
  </si>
  <si>
    <t xml:space="preserve">BOULOGNE</t>
  </si>
  <si>
    <t xml:space="preserve">0 - PAGE DE CONNEXION</t>
  </si>
  <si>
    <t xml:space="preserve">ID</t>
  </si>
  <si>
    <t xml:space="preserve">CODE H</t>
  </si>
  <si>
    <t xml:space="preserve">NON</t>
  </si>
  <si>
    <t xml:space="preserve">API Portfolio</t>
  </si>
  <si>
    <t xml:space="preserve">360 Hotel Referential</t>
  </si>
  <si>
    <t xml:space="preserve">OUI</t>
  </si>
  <si>
    <t xml:space="preserve">N/A</t>
  </si>
  <si>
    <t xml:space="preserve">Complété par le user au moment de la connexion</t>
  </si>
  <si>
    <t xml:space="preserve">H2075</t>
  </si>
  <si>
    <t xml:space="preserve">HB6A3</t>
  </si>
  <si>
    <t xml:space="preserve">H0815</t>
  </si>
  <si>
    <t xml:space="preserve">HB5I0</t>
  </si>
  <si>
    <t xml:space="preserve">H3546</t>
  </si>
  <si>
    <t xml:space="preserve">H0373</t>
  </si>
  <si>
    <t xml:space="preserve">H6188</t>
  </si>
  <si>
    <t xml:space="preserve">NOM DE L'HOTEL</t>
  </si>
  <si>
    <t xml:space="preserve">Remonte automatiquement</t>
  </si>
  <si>
    <t xml:space="preserve">IBIS BUDGET NICE CALIFORNIE</t>
  </si>
  <si>
    <t xml:space="preserve">IBIS BUDGET STRASBOURG REPUBLIQUE</t>
  </si>
  <si>
    <t xml:space="preserve">IBIS STYLES ROISSY CDG</t>
  </si>
  <si>
    <t xml:space="preserve">NOVOTEL MEGEVE MONT BLANC</t>
  </si>
  <si>
    <t xml:space="preserve">NOVOTEL PARIS CENTRE TOUR EIFFEL</t>
  </si>
  <si>
    <t xml:space="preserve">MERCURE MONTMARTRE SACRE COEUR</t>
  </si>
  <si>
    <t xml:space="preserve">MERCURE PARIS BOULOGNE</t>
  </si>
  <si>
    <t xml:space="preserve">LOCALISATION GEO</t>
  </si>
  <si>
    <t xml:space="preserve">ADRESSE POSTALE (1)</t>
  </si>
  <si>
    <t xml:space="preserve">Pourrait être utilisé par l'IA pour affiner la recommandation d'un concept de corner de vente</t>
  </si>
  <si>
    <t xml:space="preserve">58-60 AVENUE DE LA CALIFORNIE</t>
  </si>
  <si>
    <t xml:space="preserve">23A RUE OBERLIN</t>
  </si>
  <si>
    <t xml:space="preserve">2 AVENUE HEINZ GLOOR</t>
  </si>
  <si>
    <t xml:space="preserve">1306 ROUTE NATIONALE</t>
  </si>
  <si>
    <t xml:space="preserve">61 QUAI DE GRENELLE</t>
  </si>
  <si>
    <t xml:space="preserve">3  RUE CAULAINCOURT</t>
  </si>
  <si>
    <t xml:space="preserve">37 PLACE RENÉ CLAIR</t>
  </si>
  <si>
    <t xml:space="preserve">ADRESSE POSTALE (2)</t>
  </si>
  <si>
    <t xml:space="preserve">-</t>
  </si>
  <si>
    <t xml:space="preserve">LE DOMAINE DE MEZTIVA</t>
  </si>
  <si>
    <t xml:space="preserve">ADRESSE POSTALE (3)</t>
  </si>
  <si>
    <t xml:space="preserve">CODE POSTAL</t>
  </si>
  <si>
    <t xml:space="preserve">06200</t>
  </si>
  <si>
    <t xml:space="preserve">67000</t>
  </si>
  <si>
    <t xml:space="preserve">95700</t>
  </si>
  <si>
    <t xml:space="preserve">74120</t>
  </si>
  <si>
    <t xml:space="preserve">75015</t>
  </si>
  <si>
    <t xml:space="preserve">75018</t>
  </si>
  <si>
    <t xml:space="preserve">92100</t>
  </si>
  <si>
    <t xml:space="preserve">VILLE</t>
  </si>
  <si>
    <t xml:space="preserve">ROISSY</t>
  </si>
  <si>
    <t xml:space="preserve">PARIS</t>
  </si>
  <si>
    <t xml:space="preserve">BOULOGNE-BILLANCOURT</t>
  </si>
  <si>
    <t xml:space="preserve">LONGITUDE</t>
  </si>
  <si>
    <t xml:space="preserve">Export à la demande</t>
  </si>
  <si>
    <t xml:space="preserve">LATITUDE</t>
  </si>
  <si>
    <t xml:space="preserve">1 - INFORMATIONS
GENERALES</t>
  </si>
  <si>
    <t xml:space="preserve">DONNEES ADMIN</t>
  </si>
  <si>
    <t xml:space="preserve">MARQUE</t>
  </si>
  <si>
    <t xml:space="preserve">Voir fichier "Paramètres &amp; règles + projections nb. d'hôtels"</t>
  </si>
  <si>
    <t xml:space="preserve">NB. DE CHAMBRES</t>
  </si>
  <si>
    <t xml:space="preserve">CONTRAT SIGNE (ANNEE)</t>
  </si>
  <si>
    <t xml:space="preserve">TBC</t>
  </si>
  <si>
    <t xml:space="preserve">?</t>
  </si>
  <si>
    <t xml:space="preserve"> - </t>
  </si>
  <si>
    <t xml:space="preserve">CONTRAT (TYPE)</t>
  </si>
  <si>
    <t xml:space="preserve">FRANCHISE</t>
  </si>
  <si>
    <t xml:space="preserve">MANAGÉ</t>
  </si>
  <si>
    <t xml:space="preserve">PROPRIETAIRE</t>
  </si>
  <si>
    <t xml:space="preserve">FAMILLE FARINES</t>
  </si>
  <si>
    <t xml:space="preserve">MILLION - CHOREIN</t>
  </si>
  <si>
    <t xml:space="preserve">FERRE HOTELS</t>
  </si>
  <si>
    <t xml:space="preserve">FAMILLE DELETTRE</t>
  </si>
  <si>
    <t xml:space="preserve">ACCORINVEST FRANCE</t>
  </si>
  <si>
    <t xml:space="preserve">GROUPE COVIVIO</t>
  </si>
  <si>
    <t xml:space="preserve">DOM/DOF</t>
  </si>
  <si>
    <t xml:space="preserve">Marion BOROT</t>
  </si>
  <si>
    <t xml:space="preserve">Christophe RUQUEBOEUCHE</t>
  </si>
  <si>
    <t xml:space="preserve">Sophie CHOLLON</t>
  </si>
  <si>
    <t xml:space="preserve">Bello DIALLO</t>
  </si>
  <si>
    <t xml:space="preserve">Philippe JAUSSELY</t>
  </si>
  <si>
    <t xml:space="preserve">Thibault FREMONT</t>
  </si>
  <si>
    <t xml:space="preserve">Hubert VANQUATHEM</t>
  </si>
  <si>
    <t xml:space="preserve">DERNIERE RENO HOTEL</t>
  </si>
  <si>
    <t xml:space="preserve">Données fictives pour le moment</t>
  </si>
  <si>
    <t xml:space="preserve">DERNIERE RENO LOBBY</t>
  </si>
  <si>
    <t xml:space="preserve">PMS</t>
  </si>
  <si>
    <t xml:space="preserve">FOLS</t>
  </si>
  <si>
    <t xml:space="preserve">OPERA</t>
  </si>
  <si>
    <t xml:space="preserve">DONNEES CHIFFREES</t>
  </si>
  <si>
    <t xml:space="preserve"># ADULTES PAR CHAMBRE</t>
  </si>
  <si>
    <t xml:space="preserve">Pourrait être utilisé par l'IA pour affiner la recommandation de l'assortiment produits</t>
  </si>
  <si>
    <t xml:space="preserve"># ENFANTS PAR CHAMBRE</t>
  </si>
  <si>
    <t xml:space="preserve">PANIER MOYEN</t>
  </si>
  <si>
    <t xml:space="preserve">TO ANNUEL</t>
  </si>
  <si>
    <t xml:space="preserve">Voir règle n°1 dans mes 3 simulateurs Excel</t>
  </si>
  <si>
    <t xml:space="preserve">TO LE PLUS BAS (MOIS)</t>
  </si>
  <si>
    <t xml:space="preserve">Pourrait être utilisé par l'IA pour affiner le calcul de la simulation de revenu + l'assortiment produits</t>
  </si>
  <si>
    <t xml:space="preserve">JANVIER</t>
  </si>
  <si>
    <t xml:space="preserve">TO LE PLUS BAS (TAUX)</t>
  </si>
  <si>
    <t xml:space="preserve">TO LE PLUS HAUT (MOIS)</t>
  </si>
  <si>
    <t xml:space="preserve">DECEMBRE</t>
  </si>
  <si>
    <t xml:space="preserve">AOUT</t>
  </si>
  <si>
    <t xml:space="preserve">TO LE PLUS HAUT (TAUX)</t>
  </si>
  <si>
    <t xml:space="preserve">LOCALISATION /
ENVIRONNEMENT</t>
  </si>
  <si>
    <t xml:space="preserve">A PROXIMITE (A 100m)</t>
  </si>
  <si>
    <t xml:space="preserve">API Google</t>
  </si>
  <si>
    <t xml:space="preserve">NB. RESTAURATION…</t>
  </si>
  <si>
    <t xml:space="preserve">NB. SUPERMARCHÉS…</t>
  </si>
  <si>
    <t xml:space="preserve">NB. AUTRES COMMERCES…</t>
  </si>
  <si>
    <t xml:space="preserve">A PROXIMITE (A 500m)</t>
  </si>
  <si>
    <t xml:space="preserve">2 - SERVICES &amp;
EQUIPEMENTS</t>
  </si>
  <si>
    <t xml:space="preserve">F&amp;B</t>
  </si>
  <si>
    <t xml:space="preserve">BAR</t>
  </si>
  <si>
    <t xml:space="preserve">HORAIRES D'OUVERTURE</t>
  </si>
  <si>
    <t xml:space="preserve">16h - 00h</t>
  </si>
  <si>
    <t xml:space="preserve">07h-23h</t>
  </si>
  <si>
    <t xml:space="preserve">JOURS D'OUVERTURE</t>
  </si>
  <si>
    <t xml:space="preserve">MARDI AU SAMEDI</t>
  </si>
  <si>
    <t xml:space="preserve">TOUS</t>
  </si>
  <si>
    <t xml:space="preserve">MOIS D'OUVERTURE</t>
  </si>
  <si>
    <t xml:space="preserve">RESTAURANT</t>
  </si>
  <si>
    <t xml:space="preserve">18h-22h</t>
  </si>
  <si>
    <t xml:space="preserve">ROOM-SERVICE</t>
  </si>
  <si>
    <t xml:space="preserve">MINIBAR</t>
  </si>
  <si>
    <t xml:space="preserve">NON-F&amp;B</t>
  </si>
  <si>
    <t xml:space="preserve">SALLES DE REUNION</t>
  </si>
  <si>
    <t xml:space="preserve">SALLE DE SPORT</t>
  </si>
  <si>
    <t xml:space="preserve">SPA</t>
  </si>
  <si>
    <t xml:space="preserve">PISCINE</t>
  </si>
  <si>
    <t xml:space="preserve">DISPO DANS LE LOBBY</t>
  </si>
  <si>
    <t xml:space="preserve">VITRINE RÉFRIGÉRÉE</t>
  </si>
  <si>
    <t xml:space="preserve">Si l'hôtel possède déjà une vitrine réfrigérée standard, et que le corner recommandé est EASY ou LIBERTY, alors le nb. de vitrine à acheter est à 0</t>
  </si>
  <si>
    <t xml:space="preserve">MICRO-ONDES</t>
  </si>
  <si>
    <t xml:space="preserve">FONTAINE À EAU</t>
  </si>
  <si>
    <t xml:space="preserve">MACHINE À CAFÉ</t>
  </si>
  <si>
    <t xml:space="preserve">BOUILLOIRE</t>
  </si>
  <si>
    <t xml:space="preserve">ASSISES</t>
  </si>
  <si>
    <t xml:space="preserve">3 - PROFIL DE VOS
CLIENTS</t>
  </si>
  <si>
    <t xml:space="preserve">LOISIRS</t>
  </si>
  <si>
    <t xml:space="preserve">LOISIRS (%)</t>
  </si>
  <si>
    <t xml:space="preserve">LOISIRS INDIVIDUELS (%)</t>
  </si>
  <si>
    <t xml:space="preserve">TOP 1 &gt; SOLO</t>
  </si>
  <si>
    <t xml:space="preserve">TOP 1 &gt; COUPLES</t>
  </si>
  <si>
    <t xml:space="preserve">X</t>
  </si>
  <si>
    <t xml:space="preserve">TOP 1 &gt; AMIS</t>
  </si>
  <si>
    <t xml:space="preserve">TOP 1 &gt; FAMILLES</t>
  </si>
  <si>
    <t xml:space="preserve">LOISIRS GROUPES (%)</t>
  </si>
  <si>
    <t xml:space="preserve">AFFAIRES</t>
  </si>
  <si>
    <t xml:space="preserve">AFFAIRES (%)</t>
  </si>
  <si>
    <t xml:space="preserve">AFFAIRES INDIVIDUELS (%)</t>
  </si>
  <si>
    <t xml:space="preserve">AFFAIRES GROUPES (%)</t>
  </si>
  <si>
    <t xml:space="preserve">NATIONAL VS. INTER.</t>
  </si>
  <si>
    <t xml:space="preserve">NATIONAL (%)</t>
  </si>
  <si>
    <t xml:space="preserve">INTERNATIONAL (%)</t>
  </si>
  <si>
    <t xml:space="preserve">BESOINS DE VOS CLIENTS
(F&amp;B)</t>
  </si>
  <si>
    <t xml:space="preserve">BOISSONS NON ALCOOLISÉES</t>
  </si>
  <si>
    <t xml:space="preserve">Voir règle n°3 dans mes 3 simulateurs Excel &gt;&gt; Application d'un "bonus/malus"</t>
  </si>
  <si>
    <t xml:space="preserve">BOISSONS ALCOOLISÉES</t>
  </si>
  <si>
    <t xml:space="preserve">PRODUITS SALÉS SECS</t>
  </si>
  <si>
    <t xml:space="preserve">PRODUITS SALÉS FRAIS</t>
  </si>
  <si>
    <t xml:space="preserve">PRODUITS SUCRÉS SECS</t>
  </si>
  <si>
    <t xml:space="preserve">PRODUITS SUCRÉS FRAIS</t>
  </si>
  <si>
    <t xml:space="preserve">EPICERIE FINE</t>
  </si>
  <si>
    <t xml:space="preserve">BESOINS DE VOS CLIENTS
(NON-F&amp;B)</t>
  </si>
  <si>
    <t xml:space="preserve">PRODUITS SOS</t>
  </si>
  <si>
    <t xml:space="preserve">HYGIÈNE</t>
  </si>
  <si>
    <t xml:space="preserve">PRODUITS COSMÉTIQUES</t>
  </si>
  <si>
    <t xml:space="preserve">ARTICLES POUR ENFANTS</t>
  </si>
  <si>
    <t xml:space="preserve">PRÊT-À-PORTER</t>
  </si>
  <si>
    <t xml:space="preserve">ACCESSOIRES</t>
  </si>
  <si>
    <t xml:space="preserve">SOUVENIRS</t>
  </si>
  <si>
    <t xml:space="preserve">4 - INFORMATIONS
CORNER</t>
  </si>
  <si>
    <t xml:space="preserve">CORNER DE VENTE ACTUEL</t>
  </si>
  <si>
    <t xml:space="preserve">VOTRE HOTEL DISPOSE-T-IL DÉJÀ D’UN CORNER DE VENTE ?</t>
  </si>
  <si>
    <t xml:space="preserve">Ajouter fonctionnalité permettant à l'hôtel de conserver l'agencement de son corner existant</t>
  </si>
  <si>
    <r>
      <rPr>
        <b val="true"/>
        <sz val="11"/>
        <color theme="1"/>
        <rFont val="Aptos Narrow"/>
        <family val="2"/>
        <charset val="1"/>
      </rPr>
      <t xml:space="preserve">VOTRE CORNER ACTUEL :
</t>
    </r>
    <r>
      <rPr>
        <b val="true"/>
        <u val="single"/>
        <sz val="11"/>
        <color theme="1"/>
        <rFont val="Aptos Narrow"/>
        <family val="2"/>
        <charset val="1"/>
      </rPr>
      <t xml:space="preserve">OFFRE F&amp;B</t>
    </r>
  </si>
  <si>
    <t xml:space="preserve">LISTE DES PRODUITS F&amp;B</t>
  </si>
  <si>
    <t xml:space="preserve">Pourrait être utilisé par l'IA pour affiner la recommandation de l'assortiment pdts vs. ce que l'hôtel vend déjà…</t>
  </si>
  <si>
    <t xml:space="preserve">CANAUX DE VENTE</t>
  </si>
  <si>
    <t xml:space="preserve">Pourrait être utilisé par l'IA pour affiner la recommandation d'une solution technologique de vente…</t>
  </si>
  <si>
    <t xml:space="preserve">RÉCEPTION</t>
  </si>
  <si>
    <t xml:space="preserve">SNACKING/COMPTOIR</t>
  </si>
  <si>
    <t xml:space="preserve">DISTRIBUTEUR AUTO.</t>
  </si>
  <si>
    <t xml:space="preserve">FRIGO CONNECTÉ</t>
  </si>
  <si>
    <t xml:space="preserve">CAISSE CODE-BARRES</t>
  </si>
  <si>
    <t xml:space="preserve">RÉAPPRO.</t>
  </si>
  <si>
    <t xml:space="preserve">Pourrait être utilisé par l'IA pour affiner la recommandation du mode de gestion…</t>
  </si>
  <si>
    <t xml:space="preserve">HOTEL STAFF</t>
  </si>
  <si>
    <t xml:space="preserve">FOURNISSEUR</t>
  </si>
  <si>
    <r>
      <rPr>
        <b val="true"/>
        <sz val="11"/>
        <color theme="1"/>
        <rFont val="Aptos Narrow"/>
        <family val="2"/>
        <charset val="1"/>
      </rPr>
      <t xml:space="preserve">VOTRE CORNER ACTUEL :
</t>
    </r>
    <r>
      <rPr>
        <b val="true"/>
        <u val="single"/>
        <sz val="11"/>
        <color theme="1"/>
        <rFont val="Aptos Narrow"/>
        <family val="2"/>
        <charset val="1"/>
      </rPr>
      <t xml:space="preserve">OFFRE NON-F&amp;B</t>
    </r>
  </si>
  <si>
    <t xml:space="preserve">LISTE DES PRODUITS NON-F&amp;B</t>
  </si>
  <si>
    <t xml:space="preserve">ARMOIRE CONNECTÉE</t>
  </si>
  <si>
    <t xml:space="preserve">X% DE MES CLIENTS PASSENT DEVANT CE CORNER</t>
  </si>
  <si>
    <t xml:space="preserve">Ce qui est utilisé ici lors de la simulation c'est la moyenne constatée dans le cadre des pilotes</t>
  </si>
  <si>
    <t xml:space="preserve">MÈTRES LINÉAIRES (ESTIMATION)</t>
  </si>
  <si>
    <t xml:space="preserve">Voir règle n°4 dans mes 3 simulateurs Excel</t>
  </si>
  <si>
    <t xml:space="preserve">MÈTRES CARRÉS (ESTIMATION)</t>
  </si>
  <si>
    <t xml:space="preserve">ÉQUIPEMENTS DISPONIBLES</t>
  </si>
  <si>
    <t xml:space="preserve">WIFI</t>
  </si>
  <si>
    <t xml:space="preserve">INTERNET FILAIRE (PRISE RJ45)</t>
  </si>
  <si>
    <t xml:space="preserve">ALIMENTATION ÉLECTRIQUE</t>
  </si>
  <si>
    <t xml:space="preserve">VIDÉOSURVEILLANCE</t>
  </si>
  <si>
    <t xml:space="preserve">AUTRE EMPLACEMENT DISPO ?</t>
  </si>
  <si>
    <t xml:space="preserve">X% DE MES CLIENTS PASSENT DEVANT CET EMPLACEMENT</t>
  </si>
  <si>
    <t xml:space="preserve">5 - SIMULATEUR
DE REVENUS</t>
  </si>
  <si>
    <t xml:space="preserve">ECRAN DE CONTRÔLE /
PARAMETRES</t>
  </si>
  <si>
    <t xml:space="preserve"># MOYEN DE GUESTS PAR CHAMBRE</t>
  </si>
  <si>
    <t xml:space="preserve">Data à ajouter au futur calcul de simulation</t>
  </si>
  <si>
    <t xml:space="preserve">1,5</t>
  </si>
  <si>
    <t xml:space="preserve">1,4</t>
  </si>
  <si>
    <t xml:space="preserve">TO ANNUEL MOYEN</t>
  </si>
  <si>
    <t xml:space="preserve">MÈTRES LINÉAIRES DEDIES A VOTRE CORNER (ACTUEL OU FUTUR)</t>
  </si>
  <si>
    <t xml:space="preserve">MIX PRODUITS
(choisi par l'hôtel
dans un 1er temps puis
option/bouton "reco IA")</t>
  </si>
  <si>
    <t xml:space="preserve">% DE PRODUITS F&amp;B</t>
  </si>
  <si>
    <t xml:space="preserve">NON (mais option AI)</t>
  </si>
  <si>
    <t xml:space="preserve">Voir règle n°2 dans mes 3 simulateurs Excel &gt;&gt; Application d'un coefficient moyen en fonction du type de boutique recommandé à l'hôtel</t>
  </si>
  <si>
    <t xml:space="preserve">% DE PRODUITS NON-F&amp;B</t>
  </si>
  <si>
    <t xml:space="preserve">F_B__RÉCEPTION</t>
  </si>
  <si>
    <r>
      <rPr>
        <sz val="11"/>
        <color theme="1"/>
        <rFont val="Aptos Narrow"/>
        <family val="2"/>
      </rPr>
      <t xml:space="preserve">F_B__</t>
    </r>
    <r>
      <rPr>
        <sz val="11"/>
        <color theme="1"/>
        <rFont val="Aptos Narrow"/>
        <family val="2"/>
        <charset val="1"/>
      </rPr>
      <t xml:space="preserve">SNACKING/COMPTOIR</t>
    </r>
  </si>
  <si>
    <r>
      <rPr>
        <sz val="11"/>
        <color theme="1"/>
        <rFont val="Aptos Narrow"/>
        <family val="2"/>
      </rPr>
      <t xml:space="preserve">F_B__</t>
    </r>
    <r>
      <rPr>
        <sz val="11"/>
        <color theme="1"/>
        <rFont val="Aptos Narrow"/>
        <family val="2"/>
        <charset val="1"/>
      </rPr>
      <t xml:space="preserve">DISTRIBUTEUR AUTO.</t>
    </r>
  </si>
  <si>
    <t xml:space="preserve">NON_F_B__RÉCEPTION</t>
  </si>
  <si>
    <r>
      <rPr>
        <sz val="11"/>
        <color theme="1"/>
        <rFont val="Aptos Narrow"/>
        <family val="2"/>
      </rPr>
      <t xml:space="preserve">NON_F_B__</t>
    </r>
    <r>
      <rPr>
        <sz val="11"/>
        <color theme="1"/>
        <rFont val="Aptos Narrow"/>
        <family val="2"/>
        <charset val="1"/>
      </rPr>
      <t xml:space="preserve">DISTRIBUTEUR AUTO.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</si>
</sst>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\ %"/>
    <numFmt numFmtId="167" formatCode="0.00\ %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b val="true"/>
      <sz val="12"/>
      <color theme="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u val="single"/>
      <sz val="11"/>
      <color rgb="FF000000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color rgb="FFFF0000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rgb="FF00B050"/>
      <name val="Aptos Narrow"/>
      <family val="2"/>
      <charset val="1"/>
    </font>
    <font>
      <sz val="11"/>
      <color theme="5"/>
      <name val="Aptos Narrow"/>
      <family val="2"/>
      <charset val="1"/>
    </font>
    <font>
      <sz val="11"/>
      <name val="Aptos Narrow"/>
      <family val="2"/>
      <charset val="1"/>
    </font>
    <font>
      <b val="true"/>
      <u val="single"/>
      <sz val="11"/>
      <color theme="1"/>
      <name val="Aptos Narrow"/>
      <family val="2"/>
      <charset val="1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"/>
        <bgColor rgb="FFBFBFBF"/>
      </patternFill>
    </fill>
    <fill>
      <patternFill patternType="solid">
        <fgColor theme="9" tint="0.7999"/>
        <bgColor rgb="FFE8E8E8"/>
      </patternFill>
    </fill>
    <fill>
      <patternFill patternType="solid">
        <fgColor theme="3" tint="0.4999"/>
        <bgColor rgb="FF467886"/>
      </patternFill>
    </fill>
    <fill>
      <patternFill patternType="solid">
        <fgColor theme="8" tint="0.5999"/>
        <bgColor rgb="FFCC99FF"/>
      </patternFill>
    </fill>
    <fill>
      <patternFill patternType="solid">
        <fgColor theme="1"/>
        <bgColor rgb="FF003300"/>
      </patternFill>
    </fill>
    <fill>
      <patternFill patternType="solid">
        <fgColor theme="2"/>
        <bgColor rgb="FFD9F2D0"/>
      </patternFill>
    </fill>
    <fill>
      <patternFill patternType="solid">
        <fgColor rgb="FF92D050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E8E8E8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ck">
        <color theme="1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ck">
        <color theme="1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1"/>
      </top>
      <bottom style="thick"/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1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1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ck"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/>
      <diagonal/>
    </border>
    <border diagonalUp="false" diagonalDown="false">
      <left style="thin">
        <color theme="0" tint="-0.25"/>
      </left>
      <right style="thick">
        <color theme="1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ck">
        <color theme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/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7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7" borderId="1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7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7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1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7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7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8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7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1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7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A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83CBEB"/>
      <rgbColor rgb="FFE59EDD"/>
      <rgbColor rgb="FFCC99FF"/>
      <rgbColor rgb="FFFFCC99"/>
      <rgbColor rgb="FF4E95D9"/>
      <rgbColor rgb="FF33CCCC"/>
      <rgbColor rgb="FF92D050"/>
      <rgbColor rgb="FFFFCC00"/>
      <rgbColor rgb="FFFF9900"/>
      <rgbColor rgb="FFE97132"/>
      <rgbColor rgb="FF46788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veloper.accor.com/api-portfolio?p=2" TargetMode="External"/><Relationship Id="rId2" Type="http://schemas.openxmlformats.org/officeDocument/2006/relationships/hyperlink" Target="https://developer.accor.com/api-portfolio?p=2" TargetMode="External"/><Relationship Id="rId3" Type="http://schemas.openxmlformats.org/officeDocument/2006/relationships/hyperlink" Target="https://developer.accor.com/api-portfolio?p=2" TargetMode="External"/><Relationship Id="rId4" Type="http://schemas.openxmlformats.org/officeDocument/2006/relationships/hyperlink" Target="https://developer.accor.com/api-portfolio?p=2" TargetMode="External"/><Relationship Id="rId5" Type="http://schemas.openxmlformats.org/officeDocument/2006/relationships/hyperlink" Target="https://developer.accor.com/api-portfolio?p=2" TargetMode="External"/><Relationship Id="rId6" Type="http://schemas.openxmlformats.org/officeDocument/2006/relationships/hyperlink" Target="https://developer.accor.com/api-portfolio?p=2" TargetMode="External"/><Relationship Id="rId7" Type="http://schemas.openxmlformats.org/officeDocument/2006/relationships/hyperlink" Target="https://developer.accor.com/api-portfolio?p=2" TargetMode="External"/><Relationship Id="rId8" Type="http://schemas.openxmlformats.org/officeDocument/2006/relationships/hyperlink" Target="https://developer.accor.com/api-portfolio?p=2" TargetMode="External"/><Relationship Id="rId9" Type="http://schemas.openxmlformats.org/officeDocument/2006/relationships/hyperlink" Target="https://developer.accor.com/api-portfolio?p=2" TargetMode="External"/><Relationship Id="rId10" Type="http://schemas.openxmlformats.org/officeDocument/2006/relationships/hyperlink" Target="https://developer.accor.com/api-portfolio?p=2" TargetMode="External"/><Relationship Id="rId11" Type="http://schemas.openxmlformats.org/officeDocument/2006/relationships/hyperlink" Target="https://developer.accor.com/api-portfolio?p=2" TargetMode="External"/><Relationship Id="rId12" Type="http://schemas.openxmlformats.org/officeDocument/2006/relationships/hyperlink" Target="https://developer.accor.com/api-portfolio?p=2" TargetMode="External"/><Relationship Id="rId13" Type="http://schemas.openxmlformats.org/officeDocument/2006/relationships/hyperlink" Target="https://developer.accor.com/api-portfolio?p=2" TargetMode="External"/><Relationship Id="rId1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37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D86" activeCellId="1" sqref="A1:EA9 D86"/>
    </sheetView>
  </sheetViews>
  <sheetFormatPr defaultColWidth="11.57421875" defaultRowHeight="14.25" customHeight="false" zeroHeight="false" outlineLevelRow="0" outlineLevelCol="0"/>
  <cols>
    <col collapsed="false" customWidth="true" hidden="false" outlineLevel="0" max="1" min="1" style="1" width="1.3"/>
    <col collapsed="false" customWidth="true" hidden="false" outlineLevel="0" max="2" min="2" style="2" width="19.28"/>
    <col collapsed="false" customWidth="true" hidden="false" outlineLevel="0" max="3" min="3" style="2" width="25.43"/>
    <col collapsed="false" customWidth="true" hidden="false" outlineLevel="0" max="4" min="4" style="2" width="32.29"/>
    <col collapsed="false" customWidth="true" hidden="false" outlineLevel="0" max="5" min="5" style="3" width="24"/>
    <col collapsed="false" customWidth="true" hidden="false" outlineLevel="0" max="6" min="6" style="3" width="19.28"/>
    <col collapsed="false" customWidth="true" hidden="false" outlineLevel="0" max="7" min="7" style="3" width="29.86"/>
    <col collapsed="false" customWidth="true" hidden="false" outlineLevel="0" max="8" min="8" style="2" width="24.86"/>
    <col collapsed="false" customWidth="true" hidden="false" outlineLevel="0" max="9" min="9" style="2" width="23.28"/>
    <col collapsed="false" customWidth="true" hidden="false" outlineLevel="0" max="10" min="10" style="1" width="124.72"/>
    <col collapsed="false" customWidth="true" hidden="false" outlineLevel="0" max="17" min="11" style="1" width="20.43"/>
    <col collapsed="false" customWidth="false" hidden="false" outlineLevel="0" max="16384" min="18" style="1" width="11.57"/>
  </cols>
  <sheetData>
    <row r="1" customFormat="false" ht="6.75" hidden="false" customHeight="true" outlineLevel="0" collapsed="false"/>
    <row r="2" customFormat="false" ht="42" hidden="false" customHeight="true" outlineLevel="0" collapsed="false">
      <c r="K2" s="4" t="s">
        <v>0</v>
      </c>
      <c r="L2" s="4"/>
      <c r="M2" s="5" t="s">
        <v>1</v>
      </c>
      <c r="N2" s="6" t="s">
        <v>2</v>
      </c>
      <c r="O2" s="6"/>
      <c r="P2" s="7" t="s">
        <v>3</v>
      </c>
      <c r="Q2" s="7"/>
    </row>
    <row r="3" customFormat="false" ht="78" hidden="false" customHeight="true" outlineLevel="0" collapsed="false">
      <c r="B3" s="8" t="s">
        <v>4</v>
      </c>
      <c r="C3" s="8" t="s">
        <v>5</v>
      </c>
      <c r="D3" s="8" t="s">
        <v>6</v>
      </c>
      <c r="E3" s="9" t="s">
        <v>7</v>
      </c>
      <c r="F3" s="9" t="s">
        <v>8</v>
      </c>
      <c r="G3" s="9" t="s">
        <v>9</v>
      </c>
      <c r="H3" s="10" t="s">
        <v>10</v>
      </c>
      <c r="I3" s="10" t="s">
        <v>11</v>
      </c>
      <c r="J3" s="11" t="s">
        <v>12</v>
      </c>
      <c r="K3" s="12" t="s">
        <v>13</v>
      </c>
      <c r="L3" s="12" t="s">
        <v>14</v>
      </c>
      <c r="M3" s="13" t="s">
        <v>15</v>
      </c>
      <c r="N3" s="14" t="s">
        <v>16</v>
      </c>
      <c r="O3" s="15" t="s">
        <v>17</v>
      </c>
      <c r="P3" s="16" t="s">
        <v>18</v>
      </c>
      <c r="Q3" s="17" t="s">
        <v>19</v>
      </c>
    </row>
    <row r="4" customFormat="false" ht="16.4" hidden="false" customHeight="false" outlineLevel="0" collapsed="false">
      <c r="B4" s="18" t="s">
        <v>20</v>
      </c>
      <c r="C4" s="19" t="s">
        <v>21</v>
      </c>
      <c r="D4" s="20" t="s">
        <v>22</v>
      </c>
      <c r="E4" s="21" t="s">
        <v>23</v>
      </c>
      <c r="F4" s="22" t="s">
        <v>24</v>
      </c>
      <c r="G4" s="23" t="s">
        <v>25</v>
      </c>
      <c r="H4" s="24" t="s">
        <v>26</v>
      </c>
      <c r="I4" s="23" t="s">
        <v>27</v>
      </c>
      <c r="J4" s="25" t="s">
        <v>28</v>
      </c>
      <c r="K4" s="23" t="s">
        <v>29</v>
      </c>
      <c r="L4" s="23" t="s">
        <v>30</v>
      </c>
      <c r="M4" s="23" t="s">
        <v>31</v>
      </c>
      <c r="N4" s="23" t="s">
        <v>32</v>
      </c>
      <c r="O4" s="23" t="s">
        <v>33</v>
      </c>
      <c r="P4" s="23" t="s">
        <v>34</v>
      </c>
      <c r="Q4" s="23" t="s">
        <v>35</v>
      </c>
    </row>
    <row r="5" customFormat="false" ht="16.4" hidden="false" customHeight="false" outlineLevel="0" collapsed="false">
      <c r="B5" s="18"/>
      <c r="C5" s="19"/>
      <c r="D5" s="26" t="s">
        <v>36</v>
      </c>
      <c r="E5" s="27" t="s">
        <v>26</v>
      </c>
      <c r="F5" s="28" t="s">
        <v>24</v>
      </c>
      <c r="G5" s="29" t="s">
        <v>25</v>
      </c>
      <c r="H5" s="30" t="s">
        <v>23</v>
      </c>
      <c r="I5" s="29" t="s">
        <v>27</v>
      </c>
      <c r="J5" s="31" t="s">
        <v>37</v>
      </c>
      <c r="K5" s="29" t="s">
        <v>38</v>
      </c>
      <c r="L5" s="29" t="s">
        <v>39</v>
      </c>
      <c r="M5" s="29" t="s">
        <v>40</v>
      </c>
      <c r="N5" s="29" t="s">
        <v>41</v>
      </c>
      <c r="O5" s="29" t="s">
        <v>42</v>
      </c>
      <c r="P5" s="29" t="s">
        <v>43</v>
      </c>
      <c r="Q5" s="29" t="s">
        <v>44</v>
      </c>
    </row>
    <row r="6" customFormat="false" ht="16.4" hidden="false" customHeight="false" outlineLevel="0" collapsed="false">
      <c r="B6" s="18"/>
      <c r="C6" s="32" t="s">
        <v>45</v>
      </c>
      <c r="D6" s="33" t="s">
        <v>46</v>
      </c>
      <c r="E6" s="34" t="s">
        <v>27</v>
      </c>
      <c r="F6" s="35" t="s">
        <v>24</v>
      </c>
      <c r="G6" s="34" t="s">
        <v>25</v>
      </c>
      <c r="H6" s="34" t="s">
        <v>27</v>
      </c>
      <c r="I6" s="36" t="s">
        <v>23</v>
      </c>
      <c r="J6" s="37" t="s">
        <v>47</v>
      </c>
      <c r="K6" s="34" t="s">
        <v>48</v>
      </c>
      <c r="L6" s="34" t="s">
        <v>49</v>
      </c>
      <c r="M6" s="34" t="s">
        <v>50</v>
      </c>
      <c r="N6" s="34" t="s">
        <v>51</v>
      </c>
      <c r="O6" s="34" t="s">
        <v>52</v>
      </c>
      <c r="P6" s="34" t="s">
        <v>53</v>
      </c>
      <c r="Q6" s="34" t="s">
        <v>54</v>
      </c>
    </row>
    <row r="7" customFormat="false" ht="16.4" hidden="false" customHeight="false" outlineLevel="0" collapsed="false">
      <c r="B7" s="18"/>
      <c r="C7" s="18"/>
      <c r="D7" s="20" t="s">
        <v>55</v>
      </c>
      <c r="E7" s="23" t="s">
        <v>27</v>
      </c>
      <c r="F7" s="22" t="s">
        <v>24</v>
      </c>
      <c r="G7" s="23" t="s">
        <v>25</v>
      </c>
      <c r="H7" s="23" t="s">
        <v>27</v>
      </c>
      <c r="I7" s="21" t="s">
        <v>23</v>
      </c>
      <c r="J7" s="25" t="s">
        <v>47</v>
      </c>
      <c r="K7" s="23" t="s">
        <v>56</v>
      </c>
      <c r="L7" s="23" t="s">
        <v>56</v>
      </c>
      <c r="M7" s="23" t="s">
        <v>56</v>
      </c>
      <c r="N7" s="23" t="s">
        <v>57</v>
      </c>
      <c r="O7" s="23" t="s">
        <v>56</v>
      </c>
      <c r="P7" s="23" t="s">
        <v>56</v>
      </c>
      <c r="Q7" s="23" t="s">
        <v>56</v>
      </c>
    </row>
    <row r="8" customFormat="false" ht="16.4" hidden="false" customHeight="false" outlineLevel="0" collapsed="false">
      <c r="B8" s="18"/>
      <c r="C8" s="18"/>
      <c r="D8" s="20" t="s">
        <v>58</v>
      </c>
      <c r="E8" s="23" t="s">
        <v>27</v>
      </c>
      <c r="F8" s="22" t="s">
        <v>24</v>
      </c>
      <c r="G8" s="23" t="s">
        <v>25</v>
      </c>
      <c r="H8" s="23" t="s">
        <v>27</v>
      </c>
      <c r="I8" s="21" t="s">
        <v>23</v>
      </c>
      <c r="J8" s="25" t="s">
        <v>47</v>
      </c>
      <c r="K8" s="23" t="s">
        <v>56</v>
      </c>
      <c r="L8" s="23" t="s">
        <v>56</v>
      </c>
      <c r="M8" s="23" t="s">
        <v>56</v>
      </c>
      <c r="N8" s="23" t="s">
        <v>56</v>
      </c>
      <c r="O8" s="23" t="s">
        <v>56</v>
      </c>
      <c r="P8" s="23" t="s">
        <v>56</v>
      </c>
      <c r="Q8" s="23" t="s">
        <v>56</v>
      </c>
    </row>
    <row r="9" customFormat="false" ht="16.4" hidden="false" customHeight="false" outlineLevel="0" collapsed="false">
      <c r="B9" s="18"/>
      <c r="C9" s="18"/>
      <c r="D9" s="38" t="s">
        <v>59</v>
      </c>
      <c r="E9" s="23" t="s">
        <v>27</v>
      </c>
      <c r="F9" s="22" t="s">
        <v>24</v>
      </c>
      <c r="G9" s="23" t="s">
        <v>25</v>
      </c>
      <c r="H9" s="23" t="s">
        <v>27</v>
      </c>
      <c r="I9" s="21" t="s">
        <v>23</v>
      </c>
      <c r="J9" s="25" t="s">
        <v>47</v>
      </c>
      <c r="K9" s="39" t="s">
        <v>60</v>
      </c>
      <c r="L9" s="39" t="s">
        <v>61</v>
      </c>
      <c r="M9" s="39" t="s">
        <v>62</v>
      </c>
      <c r="N9" s="39" t="s">
        <v>63</v>
      </c>
      <c r="O9" s="39" t="s">
        <v>64</v>
      </c>
      <c r="P9" s="39" t="s">
        <v>65</v>
      </c>
      <c r="Q9" s="39" t="s">
        <v>66</v>
      </c>
    </row>
    <row r="10" customFormat="false" ht="16.4" hidden="false" customHeight="false" outlineLevel="0" collapsed="false">
      <c r="B10" s="18"/>
      <c r="C10" s="18"/>
      <c r="D10" s="20" t="s">
        <v>67</v>
      </c>
      <c r="E10" s="23" t="s">
        <v>27</v>
      </c>
      <c r="F10" s="22" t="s">
        <v>24</v>
      </c>
      <c r="G10" s="23" t="s">
        <v>25</v>
      </c>
      <c r="H10" s="23" t="s">
        <v>27</v>
      </c>
      <c r="I10" s="21" t="s">
        <v>23</v>
      </c>
      <c r="J10" s="25" t="s">
        <v>47</v>
      </c>
      <c r="K10" s="23" t="s">
        <v>13</v>
      </c>
      <c r="L10" s="23" t="s">
        <v>14</v>
      </c>
      <c r="M10" s="23" t="s">
        <v>68</v>
      </c>
      <c r="N10" s="23" t="s">
        <v>16</v>
      </c>
      <c r="O10" s="23" t="s">
        <v>69</v>
      </c>
      <c r="P10" s="23" t="s">
        <v>69</v>
      </c>
      <c r="Q10" s="23" t="s">
        <v>70</v>
      </c>
    </row>
    <row r="11" customFormat="false" ht="16.4" hidden="false" customHeight="false" outlineLevel="0" collapsed="false">
      <c r="B11" s="18"/>
      <c r="C11" s="18"/>
      <c r="D11" s="20" t="s">
        <v>71</v>
      </c>
      <c r="E11" s="23" t="s">
        <v>27</v>
      </c>
      <c r="F11" s="22" t="s">
        <v>24</v>
      </c>
      <c r="G11" s="23" t="s">
        <v>72</v>
      </c>
      <c r="H11" s="23" t="s">
        <v>27</v>
      </c>
      <c r="I11" s="21" t="s">
        <v>23</v>
      </c>
      <c r="J11" s="25" t="s">
        <v>47</v>
      </c>
      <c r="K11" s="23" t="n">
        <v>7.240512</v>
      </c>
      <c r="L11" s="23" t="n">
        <v>7.754599</v>
      </c>
      <c r="M11" s="23" t="n">
        <v>2.519843</v>
      </c>
      <c r="N11" s="23" t="n">
        <v>6.6190552711</v>
      </c>
      <c r="O11" s="23" t="n">
        <v>2.282836</v>
      </c>
      <c r="P11" s="23" t="n">
        <v>2.329923</v>
      </c>
      <c r="Q11" s="23" t="n">
        <v>2.256274</v>
      </c>
    </row>
    <row r="12" customFormat="false" ht="16.4" hidden="false" customHeight="false" outlineLevel="0" collapsed="false">
      <c r="B12" s="18"/>
      <c r="C12" s="18"/>
      <c r="D12" s="40" t="s">
        <v>73</v>
      </c>
      <c r="E12" s="41" t="s">
        <v>27</v>
      </c>
      <c r="F12" s="42" t="s">
        <v>24</v>
      </c>
      <c r="G12" s="41" t="s">
        <v>72</v>
      </c>
      <c r="H12" s="41" t="s">
        <v>27</v>
      </c>
      <c r="I12" s="43" t="s">
        <v>23</v>
      </c>
      <c r="J12" s="44" t="s">
        <v>47</v>
      </c>
      <c r="K12" s="41" t="n">
        <v>43.689186</v>
      </c>
      <c r="L12" s="41" t="n">
        <v>48.591522</v>
      </c>
      <c r="M12" s="41" t="n">
        <v>49.006733</v>
      </c>
      <c r="N12" s="41" t="n">
        <v>45.8591651916</v>
      </c>
      <c r="O12" s="41" t="n">
        <v>48.849778</v>
      </c>
      <c r="P12" s="41" t="n">
        <v>48.885048</v>
      </c>
      <c r="Q12" s="41" t="n">
        <v>48.833827</v>
      </c>
    </row>
    <row r="13" customFormat="false" ht="16.4" hidden="false" customHeight="true" outlineLevel="0" collapsed="false">
      <c r="B13" s="45" t="s">
        <v>74</v>
      </c>
      <c r="C13" s="46" t="s">
        <v>75</v>
      </c>
      <c r="D13" s="47" t="s">
        <v>76</v>
      </c>
      <c r="E13" s="48" t="s">
        <v>26</v>
      </c>
      <c r="F13" s="49" t="s">
        <v>24</v>
      </c>
      <c r="G13" s="50" t="s">
        <v>25</v>
      </c>
      <c r="H13" s="51" t="s">
        <v>23</v>
      </c>
      <c r="I13" s="48" t="s">
        <v>26</v>
      </c>
      <c r="J13" s="52" t="s">
        <v>77</v>
      </c>
      <c r="K13" s="50" t="s">
        <v>0</v>
      </c>
      <c r="L13" s="50" t="s">
        <v>0</v>
      </c>
      <c r="M13" s="50" t="s">
        <v>1</v>
      </c>
      <c r="N13" s="50" t="s">
        <v>2</v>
      </c>
      <c r="O13" s="50" t="s">
        <v>2</v>
      </c>
      <c r="P13" s="50" t="s">
        <v>3</v>
      </c>
      <c r="Q13" s="50" t="s">
        <v>3</v>
      </c>
    </row>
    <row r="14" customFormat="false" ht="16.4" hidden="false" customHeight="false" outlineLevel="0" collapsed="false">
      <c r="B14" s="45"/>
      <c r="C14" s="46"/>
      <c r="D14" s="53" t="s">
        <v>78</v>
      </c>
      <c r="E14" s="54" t="s">
        <v>26</v>
      </c>
      <c r="F14" s="55" t="s">
        <v>24</v>
      </c>
      <c r="G14" s="56" t="s">
        <v>25</v>
      </c>
      <c r="H14" s="54" t="s">
        <v>26</v>
      </c>
      <c r="I14" s="54" t="s">
        <v>26</v>
      </c>
      <c r="J14" s="57" t="s">
        <v>77</v>
      </c>
      <c r="K14" s="56" t="n">
        <v>129</v>
      </c>
      <c r="L14" s="56" t="n">
        <v>97</v>
      </c>
      <c r="M14" s="56" t="n">
        <v>309</v>
      </c>
      <c r="N14" s="56" t="n">
        <v>572</v>
      </c>
      <c r="O14" s="56" t="n">
        <v>764</v>
      </c>
      <c r="P14" s="56" t="n">
        <v>305</v>
      </c>
      <c r="Q14" s="56" t="n">
        <v>191</v>
      </c>
    </row>
    <row r="15" customFormat="false" ht="14.25" hidden="false" customHeight="false" outlineLevel="0" collapsed="false">
      <c r="B15" s="45"/>
      <c r="C15" s="46"/>
      <c r="D15" s="53" t="s">
        <v>79</v>
      </c>
      <c r="E15" s="54" t="s">
        <v>26</v>
      </c>
      <c r="F15" s="58" t="s">
        <v>80</v>
      </c>
      <c r="G15" s="56" t="s">
        <v>81</v>
      </c>
      <c r="H15" s="54" t="s">
        <v>26</v>
      </c>
      <c r="I15" s="59" t="s">
        <v>27</v>
      </c>
      <c r="J15" s="60" t="s">
        <v>82</v>
      </c>
      <c r="K15" s="56" t="s">
        <v>81</v>
      </c>
      <c r="L15" s="56" t="n">
        <v>2020</v>
      </c>
      <c r="M15" s="56" t="n">
        <v>2015</v>
      </c>
      <c r="N15" s="56" t="s">
        <v>81</v>
      </c>
      <c r="O15" s="56" t="n">
        <v>1976</v>
      </c>
      <c r="P15" s="56" t="s">
        <v>81</v>
      </c>
      <c r="Q15" s="56" t="s">
        <v>81</v>
      </c>
    </row>
    <row r="16" customFormat="false" ht="14.25" hidden="false" customHeight="false" outlineLevel="0" collapsed="false">
      <c r="B16" s="45"/>
      <c r="C16" s="46"/>
      <c r="D16" s="53" t="s">
        <v>83</v>
      </c>
      <c r="E16" s="54" t="s">
        <v>26</v>
      </c>
      <c r="F16" s="58" t="s">
        <v>80</v>
      </c>
      <c r="G16" s="56" t="s">
        <v>25</v>
      </c>
      <c r="H16" s="54" t="s">
        <v>26</v>
      </c>
      <c r="I16" s="59" t="s">
        <v>27</v>
      </c>
      <c r="J16" s="60" t="s">
        <v>82</v>
      </c>
      <c r="K16" s="56" t="s">
        <v>84</v>
      </c>
      <c r="L16" s="56" t="s">
        <v>84</v>
      </c>
      <c r="M16" s="56" t="s">
        <v>84</v>
      </c>
      <c r="N16" s="56" t="s">
        <v>84</v>
      </c>
      <c r="O16" s="56" t="s">
        <v>85</v>
      </c>
      <c r="P16" s="56" t="s">
        <v>85</v>
      </c>
      <c r="Q16" s="56" t="s">
        <v>84</v>
      </c>
    </row>
    <row r="17" customFormat="false" ht="14.25" hidden="false" customHeight="false" outlineLevel="0" collapsed="false">
      <c r="B17" s="45"/>
      <c r="C17" s="46"/>
      <c r="D17" s="53" t="s">
        <v>86</v>
      </c>
      <c r="E17" s="54" t="s">
        <v>26</v>
      </c>
      <c r="F17" s="58" t="s">
        <v>80</v>
      </c>
      <c r="G17" s="56" t="s">
        <v>25</v>
      </c>
      <c r="H17" s="54" t="s">
        <v>26</v>
      </c>
      <c r="I17" s="59" t="s">
        <v>27</v>
      </c>
      <c r="J17" s="60" t="s">
        <v>82</v>
      </c>
      <c r="K17" s="56" t="s">
        <v>87</v>
      </c>
      <c r="L17" s="56" t="s">
        <v>88</v>
      </c>
      <c r="M17" s="56" t="s">
        <v>89</v>
      </c>
      <c r="N17" s="56" t="s">
        <v>90</v>
      </c>
      <c r="O17" s="56" t="s">
        <v>91</v>
      </c>
      <c r="P17" s="56" t="s">
        <v>91</v>
      </c>
      <c r="Q17" s="56" t="s">
        <v>92</v>
      </c>
    </row>
    <row r="18" customFormat="false" ht="14.25" hidden="false" customHeight="false" outlineLevel="0" collapsed="false">
      <c r="B18" s="45"/>
      <c r="C18" s="46"/>
      <c r="D18" s="53" t="s">
        <v>93</v>
      </c>
      <c r="E18" s="54" t="s">
        <v>26</v>
      </c>
      <c r="F18" s="58" t="s">
        <v>80</v>
      </c>
      <c r="G18" s="56" t="s">
        <v>25</v>
      </c>
      <c r="H18" s="54" t="s">
        <v>26</v>
      </c>
      <c r="I18" s="59" t="s">
        <v>27</v>
      </c>
      <c r="J18" s="60" t="s">
        <v>82</v>
      </c>
      <c r="K18" s="56" t="s">
        <v>94</v>
      </c>
      <c r="L18" s="56" t="s">
        <v>95</v>
      </c>
      <c r="M18" s="56" t="s">
        <v>96</v>
      </c>
      <c r="N18" s="56" t="s">
        <v>97</v>
      </c>
      <c r="O18" s="56" t="s">
        <v>98</v>
      </c>
      <c r="P18" s="56" t="s">
        <v>99</v>
      </c>
      <c r="Q18" s="56" t="s">
        <v>100</v>
      </c>
    </row>
    <row r="19" customFormat="false" ht="14.25" hidden="false" customHeight="false" outlineLevel="0" collapsed="false">
      <c r="B19" s="45"/>
      <c r="C19" s="46"/>
      <c r="D19" s="53" t="s">
        <v>101</v>
      </c>
      <c r="E19" s="54" t="s">
        <v>26</v>
      </c>
      <c r="F19" s="58" t="s">
        <v>80</v>
      </c>
      <c r="G19" s="56" t="s">
        <v>102</v>
      </c>
      <c r="H19" s="54" t="s">
        <v>26</v>
      </c>
      <c r="I19" s="59" t="s">
        <v>27</v>
      </c>
      <c r="J19" s="60" t="s">
        <v>82</v>
      </c>
      <c r="K19" s="56" t="s">
        <v>81</v>
      </c>
      <c r="L19" s="56" t="n">
        <v>2025</v>
      </c>
      <c r="M19" s="56" t="n">
        <v>2015</v>
      </c>
      <c r="N19" s="56" t="s">
        <v>81</v>
      </c>
      <c r="O19" s="56" t="s">
        <v>81</v>
      </c>
      <c r="P19" s="56" t="s">
        <v>81</v>
      </c>
      <c r="Q19" s="56" t="s">
        <v>81</v>
      </c>
    </row>
    <row r="20" customFormat="false" ht="14.25" hidden="false" customHeight="false" outlineLevel="0" collapsed="false">
      <c r="B20" s="45"/>
      <c r="C20" s="46"/>
      <c r="D20" s="53" t="s">
        <v>103</v>
      </c>
      <c r="E20" s="54" t="s">
        <v>26</v>
      </c>
      <c r="F20" s="58" t="s">
        <v>80</v>
      </c>
      <c r="G20" s="56" t="s">
        <v>102</v>
      </c>
      <c r="H20" s="54" t="s">
        <v>26</v>
      </c>
      <c r="I20" s="59" t="s">
        <v>27</v>
      </c>
      <c r="J20" s="60" t="s">
        <v>82</v>
      </c>
      <c r="K20" s="56" t="s">
        <v>81</v>
      </c>
      <c r="L20" s="56" t="n">
        <v>2025</v>
      </c>
      <c r="M20" s="56" t="n">
        <v>2015</v>
      </c>
      <c r="N20" s="56" t="s">
        <v>81</v>
      </c>
      <c r="O20" s="56" t="s">
        <v>81</v>
      </c>
      <c r="P20" s="56" t="s">
        <v>81</v>
      </c>
      <c r="Q20" s="56" t="s">
        <v>81</v>
      </c>
    </row>
    <row r="21" customFormat="false" ht="16.4" hidden="false" customHeight="false" outlineLevel="0" collapsed="false">
      <c r="B21" s="45"/>
      <c r="C21" s="46"/>
      <c r="D21" s="61" t="s">
        <v>104</v>
      </c>
      <c r="E21" s="62" t="s">
        <v>26</v>
      </c>
      <c r="F21" s="63" t="s">
        <v>24</v>
      </c>
      <c r="G21" s="64" t="s">
        <v>25</v>
      </c>
      <c r="H21" s="62" t="s">
        <v>26</v>
      </c>
      <c r="I21" s="65" t="s">
        <v>27</v>
      </c>
      <c r="J21" s="66" t="s">
        <v>82</v>
      </c>
      <c r="K21" s="64" t="s">
        <v>105</v>
      </c>
      <c r="L21" s="64" t="s">
        <v>106</v>
      </c>
      <c r="M21" s="64" t="s">
        <v>105</v>
      </c>
      <c r="N21" s="64" t="s">
        <v>105</v>
      </c>
      <c r="O21" s="64" t="s">
        <v>106</v>
      </c>
      <c r="P21" s="64" t="s">
        <v>106</v>
      </c>
      <c r="Q21" s="64" t="s">
        <v>106</v>
      </c>
    </row>
    <row r="22" customFormat="false" ht="14.25" hidden="false" customHeight="false" outlineLevel="0" collapsed="false">
      <c r="B22" s="45"/>
      <c r="C22" s="67" t="s">
        <v>107</v>
      </c>
      <c r="D22" s="68" t="s">
        <v>108</v>
      </c>
      <c r="E22" s="69" t="s">
        <v>26</v>
      </c>
      <c r="F22" s="70" t="s">
        <v>80</v>
      </c>
      <c r="G22" s="71" t="s">
        <v>102</v>
      </c>
      <c r="H22" s="69" t="s">
        <v>26</v>
      </c>
      <c r="I22" s="72" t="s">
        <v>23</v>
      </c>
      <c r="J22" s="73" t="s">
        <v>109</v>
      </c>
      <c r="K22" s="74"/>
      <c r="L22" s="74"/>
      <c r="M22" s="74"/>
      <c r="N22" s="74"/>
      <c r="O22" s="74"/>
      <c r="P22" s="74"/>
      <c r="Q22" s="74"/>
    </row>
    <row r="23" customFormat="false" ht="14.25" hidden="false" customHeight="false" outlineLevel="0" collapsed="false">
      <c r="B23" s="45"/>
      <c r="C23" s="67"/>
      <c r="D23" s="53" t="s">
        <v>110</v>
      </c>
      <c r="E23" s="54" t="s">
        <v>26</v>
      </c>
      <c r="F23" s="58" t="s">
        <v>80</v>
      </c>
      <c r="G23" s="56" t="s">
        <v>102</v>
      </c>
      <c r="H23" s="54" t="s">
        <v>26</v>
      </c>
      <c r="I23" s="75" t="s">
        <v>23</v>
      </c>
      <c r="J23" s="60" t="s">
        <v>109</v>
      </c>
      <c r="K23" s="76"/>
      <c r="L23" s="76"/>
      <c r="M23" s="76"/>
      <c r="N23" s="76"/>
      <c r="O23" s="76"/>
      <c r="P23" s="76"/>
      <c r="Q23" s="76"/>
    </row>
    <row r="24" customFormat="false" ht="14.25" hidden="false" customHeight="false" outlineLevel="0" collapsed="false">
      <c r="B24" s="45"/>
      <c r="C24" s="67"/>
      <c r="D24" s="53" t="s">
        <v>111</v>
      </c>
      <c r="E24" s="54" t="s">
        <v>26</v>
      </c>
      <c r="F24" s="58" t="s">
        <v>80</v>
      </c>
      <c r="G24" s="56" t="s">
        <v>81</v>
      </c>
      <c r="H24" s="54" t="s">
        <v>26</v>
      </c>
      <c r="I24" s="75" t="s">
        <v>23</v>
      </c>
      <c r="J24" s="60" t="s">
        <v>109</v>
      </c>
      <c r="K24" s="76"/>
      <c r="L24" s="76"/>
      <c r="M24" s="76"/>
      <c r="N24" s="76"/>
      <c r="O24" s="76"/>
      <c r="P24" s="76"/>
      <c r="Q24" s="76"/>
    </row>
    <row r="25" customFormat="false" ht="14.25" hidden="false" customHeight="false" outlineLevel="0" collapsed="false">
      <c r="B25" s="45"/>
      <c r="C25" s="67"/>
      <c r="D25" s="53" t="s">
        <v>112</v>
      </c>
      <c r="E25" s="54" t="s">
        <v>26</v>
      </c>
      <c r="F25" s="58" t="s">
        <v>80</v>
      </c>
      <c r="G25" s="56" t="s">
        <v>102</v>
      </c>
      <c r="H25" s="54" t="s">
        <v>26</v>
      </c>
      <c r="I25" s="54" t="s">
        <v>26</v>
      </c>
      <c r="J25" s="57" t="s">
        <v>113</v>
      </c>
      <c r="K25" s="56" t="s">
        <v>81</v>
      </c>
      <c r="L25" s="77" t="n">
        <v>0.7</v>
      </c>
      <c r="M25" s="77" t="n">
        <v>0.95</v>
      </c>
      <c r="N25" s="56" t="s">
        <v>81</v>
      </c>
      <c r="O25" s="56" t="s">
        <v>81</v>
      </c>
      <c r="P25" s="56" t="s">
        <v>81</v>
      </c>
      <c r="Q25" s="56" t="s">
        <v>81</v>
      </c>
    </row>
    <row r="26" customFormat="false" ht="14.25" hidden="false" customHeight="false" outlineLevel="0" collapsed="false">
      <c r="B26" s="45"/>
      <c r="C26" s="67"/>
      <c r="D26" s="78" t="s">
        <v>114</v>
      </c>
      <c r="E26" s="58" t="s">
        <v>80</v>
      </c>
      <c r="F26" s="58" t="s">
        <v>80</v>
      </c>
      <c r="G26" s="56" t="s">
        <v>102</v>
      </c>
      <c r="H26" s="54" t="s">
        <v>26</v>
      </c>
      <c r="I26" s="75" t="s">
        <v>23</v>
      </c>
      <c r="J26" s="60" t="s">
        <v>115</v>
      </c>
      <c r="K26" s="76"/>
      <c r="L26" s="56" t="s">
        <v>116</v>
      </c>
      <c r="M26" s="56" t="s">
        <v>116</v>
      </c>
      <c r="N26" s="76"/>
      <c r="O26" s="76"/>
      <c r="P26" s="76"/>
      <c r="Q26" s="76"/>
    </row>
    <row r="27" customFormat="false" ht="14.25" hidden="false" customHeight="false" outlineLevel="0" collapsed="false">
      <c r="B27" s="45"/>
      <c r="C27" s="67"/>
      <c r="D27" s="78" t="s">
        <v>117</v>
      </c>
      <c r="E27" s="58" t="s">
        <v>80</v>
      </c>
      <c r="F27" s="58" t="s">
        <v>80</v>
      </c>
      <c r="G27" s="56" t="s">
        <v>102</v>
      </c>
      <c r="H27" s="54" t="s">
        <v>26</v>
      </c>
      <c r="I27" s="75" t="s">
        <v>23</v>
      </c>
      <c r="J27" s="60" t="s">
        <v>115</v>
      </c>
      <c r="K27" s="76"/>
      <c r="L27" s="77" t="n">
        <v>0.6</v>
      </c>
      <c r="M27" s="77" t="n">
        <v>0.91</v>
      </c>
      <c r="N27" s="76"/>
      <c r="O27" s="76"/>
      <c r="P27" s="76"/>
      <c r="Q27" s="76"/>
    </row>
    <row r="28" customFormat="false" ht="14.25" hidden="false" customHeight="false" outlineLevel="0" collapsed="false">
      <c r="B28" s="45"/>
      <c r="C28" s="67"/>
      <c r="D28" s="78" t="s">
        <v>118</v>
      </c>
      <c r="E28" s="58" t="s">
        <v>80</v>
      </c>
      <c r="F28" s="58" t="s">
        <v>80</v>
      </c>
      <c r="G28" s="56" t="s">
        <v>102</v>
      </c>
      <c r="H28" s="54" t="s">
        <v>26</v>
      </c>
      <c r="I28" s="75" t="s">
        <v>23</v>
      </c>
      <c r="J28" s="60" t="s">
        <v>115</v>
      </c>
      <c r="K28" s="76"/>
      <c r="L28" s="56" t="s">
        <v>119</v>
      </c>
      <c r="M28" s="56" t="s">
        <v>120</v>
      </c>
      <c r="N28" s="76"/>
      <c r="O28" s="76"/>
      <c r="P28" s="76"/>
      <c r="Q28" s="76"/>
    </row>
    <row r="29" customFormat="false" ht="14.25" hidden="false" customHeight="false" outlineLevel="0" collapsed="false">
      <c r="B29" s="45"/>
      <c r="C29" s="67"/>
      <c r="D29" s="79" t="s">
        <v>121</v>
      </c>
      <c r="E29" s="80" t="s">
        <v>80</v>
      </c>
      <c r="F29" s="80" t="s">
        <v>80</v>
      </c>
      <c r="G29" s="81" t="s">
        <v>102</v>
      </c>
      <c r="H29" s="82" t="s">
        <v>26</v>
      </c>
      <c r="I29" s="83" t="s">
        <v>23</v>
      </c>
      <c r="J29" s="84" t="s">
        <v>115</v>
      </c>
      <c r="K29" s="85"/>
      <c r="L29" s="86" t="n">
        <v>0.8</v>
      </c>
      <c r="M29" s="86" t="n">
        <v>0.98</v>
      </c>
      <c r="N29" s="85"/>
      <c r="O29" s="85"/>
      <c r="P29" s="85"/>
      <c r="Q29" s="85"/>
    </row>
    <row r="30" customFormat="false" ht="14.25" hidden="false" customHeight="true" outlineLevel="0" collapsed="false">
      <c r="B30" s="45"/>
      <c r="C30" s="87" t="s">
        <v>122</v>
      </c>
      <c r="D30" s="88" t="s">
        <v>123</v>
      </c>
      <c r="E30" s="89" t="s">
        <v>26</v>
      </c>
      <c r="F30" s="90" t="s">
        <v>124</v>
      </c>
      <c r="G30" s="90" t="s">
        <v>27</v>
      </c>
      <c r="H30" s="91" t="s">
        <v>23</v>
      </c>
      <c r="I30" s="91" t="s">
        <v>23</v>
      </c>
      <c r="J30" s="92" t="s">
        <v>109</v>
      </c>
      <c r="K30" s="90"/>
      <c r="L30" s="90"/>
      <c r="M30" s="90"/>
      <c r="N30" s="90"/>
      <c r="O30" s="90"/>
      <c r="P30" s="90"/>
      <c r="Q30" s="90"/>
    </row>
    <row r="31" customFormat="false" ht="14.25" hidden="false" customHeight="false" outlineLevel="0" collapsed="false">
      <c r="B31" s="45"/>
      <c r="C31" s="87"/>
      <c r="D31" s="78" t="s">
        <v>125</v>
      </c>
      <c r="E31" s="54" t="s">
        <v>26</v>
      </c>
      <c r="F31" s="56" t="s">
        <v>124</v>
      </c>
      <c r="G31" s="56" t="s">
        <v>27</v>
      </c>
      <c r="H31" s="75" t="s">
        <v>23</v>
      </c>
      <c r="I31" s="75" t="s">
        <v>23</v>
      </c>
      <c r="J31" s="60" t="s">
        <v>109</v>
      </c>
      <c r="K31" s="56"/>
      <c r="L31" s="56"/>
      <c r="M31" s="56"/>
      <c r="N31" s="56"/>
      <c r="O31" s="56"/>
      <c r="P31" s="56"/>
      <c r="Q31" s="56"/>
    </row>
    <row r="32" customFormat="false" ht="14.25" hidden="false" customHeight="false" outlineLevel="0" collapsed="false">
      <c r="B32" s="45"/>
      <c r="C32" s="87"/>
      <c r="D32" s="78" t="s">
        <v>126</v>
      </c>
      <c r="E32" s="54" t="s">
        <v>26</v>
      </c>
      <c r="F32" s="56" t="s">
        <v>124</v>
      </c>
      <c r="G32" s="56" t="s">
        <v>27</v>
      </c>
      <c r="H32" s="75" t="s">
        <v>23</v>
      </c>
      <c r="I32" s="75" t="s">
        <v>23</v>
      </c>
      <c r="J32" s="60" t="s">
        <v>109</v>
      </c>
      <c r="K32" s="56"/>
      <c r="L32" s="56"/>
      <c r="M32" s="56"/>
      <c r="N32" s="56"/>
      <c r="O32" s="56"/>
      <c r="P32" s="56"/>
      <c r="Q32" s="56"/>
    </row>
    <row r="33" customFormat="false" ht="14.25" hidden="false" customHeight="false" outlineLevel="0" collapsed="false">
      <c r="B33" s="45"/>
      <c r="C33" s="87"/>
      <c r="D33" s="78" t="s">
        <v>127</v>
      </c>
      <c r="E33" s="54" t="s">
        <v>26</v>
      </c>
      <c r="F33" s="56" t="s">
        <v>124</v>
      </c>
      <c r="G33" s="56" t="s">
        <v>27</v>
      </c>
      <c r="H33" s="75" t="s">
        <v>23</v>
      </c>
      <c r="I33" s="75" t="s">
        <v>23</v>
      </c>
      <c r="J33" s="60" t="s">
        <v>109</v>
      </c>
      <c r="K33" s="56"/>
      <c r="L33" s="56"/>
      <c r="M33" s="56"/>
      <c r="N33" s="56"/>
      <c r="O33" s="56"/>
      <c r="P33" s="56"/>
      <c r="Q33" s="56"/>
    </row>
    <row r="34" customFormat="false" ht="14.25" hidden="false" customHeight="false" outlineLevel="0" collapsed="false">
      <c r="B34" s="45"/>
      <c r="C34" s="87"/>
      <c r="D34" s="53" t="s">
        <v>128</v>
      </c>
      <c r="E34" s="54" t="s">
        <v>26</v>
      </c>
      <c r="F34" s="56" t="s">
        <v>124</v>
      </c>
      <c r="G34" s="56" t="s">
        <v>27</v>
      </c>
      <c r="H34" s="75" t="s">
        <v>23</v>
      </c>
      <c r="I34" s="75" t="s">
        <v>23</v>
      </c>
      <c r="J34" s="60" t="s">
        <v>109</v>
      </c>
      <c r="K34" s="56"/>
      <c r="L34" s="56"/>
      <c r="M34" s="56"/>
      <c r="N34" s="56"/>
      <c r="O34" s="56"/>
      <c r="P34" s="56"/>
      <c r="Q34" s="56"/>
    </row>
    <row r="35" customFormat="false" ht="14.25" hidden="false" customHeight="false" outlineLevel="0" collapsed="false">
      <c r="B35" s="45"/>
      <c r="C35" s="87"/>
      <c r="D35" s="78" t="s">
        <v>125</v>
      </c>
      <c r="E35" s="54" t="s">
        <v>26</v>
      </c>
      <c r="F35" s="56" t="s">
        <v>124</v>
      </c>
      <c r="G35" s="56" t="s">
        <v>27</v>
      </c>
      <c r="H35" s="75" t="s">
        <v>23</v>
      </c>
      <c r="I35" s="75" t="s">
        <v>23</v>
      </c>
      <c r="J35" s="60" t="s">
        <v>109</v>
      </c>
      <c r="K35" s="56"/>
      <c r="L35" s="56"/>
      <c r="M35" s="56"/>
      <c r="N35" s="56"/>
      <c r="O35" s="56"/>
      <c r="P35" s="56"/>
      <c r="Q35" s="56"/>
    </row>
    <row r="36" customFormat="false" ht="14.25" hidden="false" customHeight="false" outlineLevel="0" collapsed="false">
      <c r="B36" s="45"/>
      <c r="C36" s="87"/>
      <c r="D36" s="78" t="s">
        <v>126</v>
      </c>
      <c r="E36" s="54" t="s">
        <v>26</v>
      </c>
      <c r="F36" s="56" t="s">
        <v>124</v>
      </c>
      <c r="G36" s="56" t="s">
        <v>27</v>
      </c>
      <c r="H36" s="75" t="s">
        <v>23</v>
      </c>
      <c r="I36" s="75" t="s">
        <v>23</v>
      </c>
      <c r="J36" s="60" t="s">
        <v>109</v>
      </c>
      <c r="K36" s="56"/>
      <c r="L36" s="56"/>
      <c r="M36" s="56"/>
      <c r="N36" s="56"/>
      <c r="O36" s="56"/>
      <c r="P36" s="56"/>
      <c r="Q36" s="56"/>
    </row>
    <row r="37" customFormat="false" ht="14.25" hidden="false" customHeight="false" outlineLevel="0" collapsed="false">
      <c r="B37" s="45"/>
      <c r="C37" s="87"/>
      <c r="D37" s="93" t="s">
        <v>127</v>
      </c>
      <c r="E37" s="94" t="s">
        <v>26</v>
      </c>
      <c r="F37" s="95" t="s">
        <v>124</v>
      </c>
      <c r="G37" s="95" t="s">
        <v>27</v>
      </c>
      <c r="H37" s="96" t="s">
        <v>23</v>
      </c>
      <c r="I37" s="96" t="s">
        <v>23</v>
      </c>
      <c r="J37" s="97" t="s">
        <v>109</v>
      </c>
      <c r="K37" s="95"/>
      <c r="L37" s="95"/>
      <c r="M37" s="95"/>
      <c r="N37" s="95"/>
      <c r="O37" s="95"/>
      <c r="P37" s="95"/>
      <c r="Q37" s="95"/>
    </row>
    <row r="38" customFormat="false" ht="14.25" hidden="false" customHeight="true" outlineLevel="0" collapsed="false">
      <c r="B38" s="98" t="s">
        <v>129</v>
      </c>
      <c r="C38" s="99" t="s">
        <v>130</v>
      </c>
      <c r="D38" s="100" t="s">
        <v>131</v>
      </c>
      <c r="E38" s="101" t="s">
        <v>26</v>
      </c>
      <c r="F38" s="102" t="s">
        <v>80</v>
      </c>
      <c r="G38" s="103" t="s">
        <v>25</v>
      </c>
      <c r="H38" s="101" t="s">
        <v>26</v>
      </c>
      <c r="I38" s="104" t="s">
        <v>23</v>
      </c>
      <c r="J38" s="105" t="s">
        <v>109</v>
      </c>
      <c r="K38" s="106" t="n">
        <v>0</v>
      </c>
      <c r="L38" s="107" t="n">
        <v>0</v>
      </c>
      <c r="M38" s="106" t="n">
        <v>1</v>
      </c>
      <c r="N38" s="106" t="n">
        <v>1</v>
      </c>
      <c r="O38" s="106" t="n">
        <v>1</v>
      </c>
      <c r="P38" s="106" t="n">
        <v>0</v>
      </c>
      <c r="Q38" s="106" t="n">
        <v>1</v>
      </c>
    </row>
    <row r="39" customFormat="false" ht="14.25" hidden="false" customHeight="false" outlineLevel="0" collapsed="false">
      <c r="B39" s="98"/>
      <c r="C39" s="98"/>
      <c r="D39" s="108" t="s">
        <v>132</v>
      </c>
      <c r="E39" s="109" t="s">
        <v>80</v>
      </c>
      <c r="F39" s="109" t="s">
        <v>80</v>
      </c>
      <c r="G39" s="23" t="s">
        <v>81</v>
      </c>
      <c r="H39" s="24" t="s">
        <v>26</v>
      </c>
      <c r="I39" s="21" t="s">
        <v>23</v>
      </c>
      <c r="J39" s="25" t="s">
        <v>109</v>
      </c>
      <c r="K39" s="23" t="s">
        <v>81</v>
      </c>
      <c r="L39" s="76" t="s">
        <v>133</v>
      </c>
      <c r="M39" s="23" t="s">
        <v>134</v>
      </c>
      <c r="N39" s="23" t="s">
        <v>81</v>
      </c>
      <c r="O39" s="23" t="s">
        <v>81</v>
      </c>
      <c r="P39" s="23" t="s">
        <v>81</v>
      </c>
      <c r="Q39" s="23" t="s">
        <v>81</v>
      </c>
    </row>
    <row r="40" customFormat="false" ht="14.25" hidden="false" customHeight="false" outlineLevel="0" collapsed="false">
      <c r="B40" s="98"/>
      <c r="C40" s="98"/>
      <c r="D40" s="108" t="s">
        <v>135</v>
      </c>
      <c r="E40" s="109" t="s">
        <v>80</v>
      </c>
      <c r="F40" s="109" t="s">
        <v>80</v>
      </c>
      <c r="G40" s="23" t="s">
        <v>81</v>
      </c>
      <c r="H40" s="24" t="s">
        <v>26</v>
      </c>
      <c r="I40" s="21" t="s">
        <v>23</v>
      </c>
      <c r="J40" s="25" t="s">
        <v>109</v>
      </c>
      <c r="K40" s="23" t="s">
        <v>81</v>
      </c>
      <c r="L40" s="76" t="s">
        <v>136</v>
      </c>
      <c r="M40" s="23" t="s">
        <v>137</v>
      </c>
      <c r="N40" s="23" t="s">
        <v>81</v>
      </c>
      <c r="O40" s="23" t="s">
        <v>81</v>
      </c>
      <c r="P40" s="23" t="s">
        <v>81</v>
      </c>
      <c r="Q40" s="23" t="s">
        <v>81</v>
      </c>
    </row>
    <row r="41" customFormat="false" ht="14.25" hidden="false" customHeight="false" outlineLevel="0" collapsed="false">
      <c r="B41" s="98"/>
      <c r="C41" s="98"/>
      <c r="D41" s="108" t="s">
        <v>138</v>
      </c>
      <c r="E41" s="109" t="s">
        <v>80</v>
      </c>
      <c r="F41" s="109" t="s">
        <v>80</v>
      </c>
      <c r="G41" s="23" t="s">
        <v>81</v>
      </c>
      <c r="H41" s="24" t="s">
        <v>26</v>
      </c>
      <c r="I41" s="21" t="s">
        <v>23</v>
      </c>
      <c r="J41" s="25" t="s">
        <v>109</v>
      </c>
      <c r="K41" s="23" t="s">
        <v>81</v>
      </c>
      <c r="L41" s="76" t="s">
        <v>137</v>
      </c>
      <c r="M41" s="23" t="s">
        <v>137</v>
      </c>
      <c r="N41" s="23" t="s">
        <v>81</v>
      </c>
      <c r="O41" s="23" t="s">
        <v>81</v>
      </c>
      <c r="P41" s="23" t="s">
        <v>81</v>
      </c>
      <c r="Q41" s="23" t="s">
        <v>81</v>
      </c>
    </row>
    <row r="42" customFormat="false" ht="14.25" hidden="false" customHeight="false" outlineLevel="0" collapsed="false">
      <c r="B42" s="98"/>
      <c r="C42" s="98"/>
      <c r="D42" s="20" t="s">
        <v>139</v>
      </c>
      <c r="E42" s="23" t="s">
        <v>26</v>
      </c>
      <c r="F42" s="109" t="s">
        <v>80</v>
      </c>
      <c r="G42" s="23" t="s">
        <v>25</v>
      </c>
      <c r="H42" s="24" t="s">
        <v>26</v>
      </c>
      <c r="I42" s="21" t="s">
        <v>23</v>
      </c>
      <c r="J42" s="25" t="s">
        <v>109</v>
      </c>
      <c r="K42" s="110" t="n">
        <v>0</v>
      </c>
      <c r="L42" s="110" t="n">
        <v>0</v>
      </c>
      <c r="M42" s="110" t="n">
        <v>1</v>
      </c>
      <c r="N42" s="110" t="n">
        <v>1</v>
      </c>
      <c r="O42" s="110" t="n">
        <v>3</v>
      </c>
      <c r="P42" s="110" t="n">
        <v>1</v>
      </c>
      <c r="Q42" s="110" t="n">
        <v>2</v>
      </c>
    </row>
    <row r="43" customFormat="false" ht="14.25" hidden="false" customHeight="false" outlineLevel="0" collapsed="false">
      <c r="B43" s="98"/>
      <c r="C43" s="98"/>
      <c r="D43" s="108" t="s">
        <v>132</v>
      </c>
      <c r="E43" s="109" t="s">
        <v>80</v>
      </c>
      <c r="F43" s="109" t="s">
        <v>80</v>
      </c>
      <c r="G43" s="23" t="s">
        <v>81</v>
      </c>
      <c r="H43" s="24" t="s">
        <v>26</v>
      </c>
      <c r="I43" s="21" t="s">
        <v>23</v>
      </c>
      <c r="J43" s="25" t="s">
        <v>109</v>
      </c>
      <c r="K43" s="23" t="s">
        <v>56</v>
      </c>
      <c r="L43" s="23" t="s">
        <v>56</v>
      </c>
      <c r="M43" s="23" t="s">
        <v>140</v>
      </c>
      <c r="N43" s="23" t="s">
        <v>81</v>
      </c>
      <c r="O43" s="23" t="s">
        <v>81</v>
      </c>
      <c r="P43" s="23" t="s">
        <v>81</v>
      </c>
      <c r="Q43" s="23" t="s">
        <v>81</v>
      </c>
    </row>
    <row r="44" customFormat="false" ht="14.25" hidden="false" customHeight="false" outlineLevel="0" collapsed="false">
      <c r="B44" s="98"/>
      <c r="C44" s="98"/>
      <c r="D44" s="108" t="s">
        <v>135</v>
      </c>
      <c r="E44" s="109" t="s">
        <v>80</v>
      </c>
      <c r="F44" s="109" t="s">
        <v>80</v>
      </c>
      <c r="G44" s="23" t="s">
        <v>81</v>
      </c>
      <c r="H44" s="24" t="s">
        <v>26</v>
      </c>
      <c r="I44" s="21" t="s">
        <v>23</v>
      </c>
      <c r="J44" s="25" t="s">
        <v>109</v>
      </c>
      <c r="K44" s="23" t="s">
        <v>56</v>
      </c>
      <c r="L44" s="23" t="s">
        <v>56</v>
      </c>
      <c r="M44" s="23" t="s">
        <v>137</v>
      </c>
      <c r="N44" s="23" t="s">
        <v>81</v>
      </c>
      <c r="O44" s="23" t="s">
        <v>81</v>
      </c>
      <c r="P44" s="23" t="s">
        <v>81</v>
      </c>
      <c r="Q44" s="23" t="s">
        <v>81</v>
      </c>
    </row>
    <row r="45" customFormat="false" ht="14.25" hidden="false" customHeight="false" outlineLevel="0" collapsed="false">
      <c r="B45" s="98"/>
      <c r="C45" s="98"/>
      <c r="D45" s="108" t="s">
        <v>138</v>
      </c>
      <c r="E45" s="109" t="s">
        <v>80</v>
      </c>
      <c r="F45" s="109" t="s">
        <v>80</v>
      </c>
      <c r="G45" s="23" t="s">
        <v>81</v>
      </c>
      <c r="H45" s="24" t="s">
        <v>26</v>
      </c>
      <c r="I45" s="21" t="s">
        <v>23</v>
      </c>
      <c r="J45" s="25" t="s">
        <v>109</v>
      </c>
      <c r="K45" s="23" t="s">
        <v>56</v>
      </c>
      <c r="L45" s="23" t="s">
        <v>56</v>
      </c>
      <c r="M45" s="23" t="s">
        <v>137</v>
      </c>
      <c r="N45" s="23" t="s">
        <v>81</v>
      </c>
      <c r="O45" s="23" t="s">
        <v>81</v>
      </c>
      <c r="P45" s="23" t="s">
        <v>81</v>
      </c>
      <c r="Q45" s="23" t="s">
        <v>81</v>
      </c>
    </row>
    <row r="46" customFormat="false" ht="14.25" hidden="false" customHeight="false" outlineLevel="0" collapsed="false">
      <c r="B46" s="98"/>
      <c r="C46" s="98"/>
      <c r="D46" s="20" t="s">
        <v>141</v>
      </c>
      <c r="E46" s="23" t="s">
        <v>26</v>
      </c>
      <c r="F46" s="109" t="s">
        <v>80</v>
      </c>
      <c r="G46" s="23" t="s">
        <v>102</v>
      </c>
      <c r="H46" s="24" t="s">
        <v>26</v>
      </c>
      <c r="I46" s="21" t="s">
        <v>23</v>
      </c>
      <c r="J46" s="25" t="s">
        <v>109</v>
      </c>
      <c r="K46" s="23" t="s">
        <v>81</v>
      </c>
      <c r="L46" s="23" t="s">
        <v>23</v>
      </c>
      <c r="M46" s="23" t="s">
        <v>23</v>
      </c>
      <c r="N46" s="23" t="s">
        <v>81</v>
      </c>
      <c r="O46" s="23" t="s">
        <v>81</v>
      </c>
      <c r="P46" s="23" t="s">
        <v>81</v>
      </c>
      <c r="Q46" s="23" t="s">
        <v>81</v>
      </c>
    </row>
    <row r="47" customFormat="false" ht="14.25" hidden="false" customHeight="false" outlineLevel="0" collapsed="false">
      <c r="B47" s="98"/>
      <c r="C47" s="99"/>
      <c r="D47" s="26" t="s">
        <v>142</v>
      </c>
      <c r="E47" s="29" t="s">
        <v>26</v>
      </c>
      <c r="F47" s="111" t="s">
        <v>80</v>
      </c>
      <c r="G47" s="29" t="s">
        <v>102</v>
      </c>
      <c r="H47" s="27" t="s">
        <v>26</v>
      </c>
      <c r="I47" s="30" t="s">
        <v>23</v>
      </c>
      <c r="J47" s="31" t="s">
        <v>109</v>
      </c>
      <c r="K47" s="29" t="s">
        <v>81</v>
      </c>
      <c r="L47" s="29" t="s">
        <v>26</v>
      </c>
      <c r="M47" s="29" t="s">
        <v>23</v>
      </c>
      <c r="N47" s="29" t="s">
        <v>81</v>
      </c>
      <c r="O47" s="29" t="s">
        <v>81</v>
      </c>
      <c r="P47" s="29" t="s">
        <v>81</v>
      </c>
      <c r="Q47" s="29" t="s">
        <v>81</v>
      </c>
    </row>
    <row r="48" customFormat="false" ht="14.25" hidden="false" customHeight="false" outlineLevel="0" collapsed="false">
      <c r="B48" s="98"/>
      <c r="C48" s="112" t="s">
        <v>143</v>
      </c>
      <c r="D48" s="33" t="s">
        <v>144</v>
      </c>
      <c r="E48" s="34" t="s">
        <v>26</v>
      </c>
      <c r="F48" s="113" t="s">
        <v>80</v>
      </c>
      <c r="G48" s="34" t="s">
        <v>25</v>
      </c>
      <c r="H48" s="114" t="s">
        <v>26</v>
      </c>
      <c r="I48" s="36" t="s">
        <v>23</v>
      </c>
      <c r="J48" s="37" t="s">
        <v>109</v>
      </c>
      <c r="K48" s="34" t="n">
        <v>4</v>
      </c>
      <c r="L48" s="34" t="n">
        <v>0</v>
      </c>
      <c r="M48" s="34" t="n">
        <v>1</v>
      </c>
      <c r="N48" s="34" t="n">
        <v>3</v>
      </c>
      <c r="O48" s="34" t="n">
        <v>36</v>
      </c>
      <c r="P48" s="34" t="n">
        <v>1</v>
      </c>
      <c r="Q48" s="34" t="n">
        <v>13</v>
      </c>
    </row>
    <row r="49" customFormat="false" ht="14.25" hidden="false" customHeight="false" outlineLevel="0" collapsed="false">
      <c r="B49" s="98"/>
      <c r="C49" s="98"/>
      <c r="D49" s="20" t="s">
        <v>145</v>
      </c>
      <c r="E49" s="23" t="s">
        <v>26</v>
      </c>
      <c r="F49" s="109" t="s">
        <v>80</v>
      </c>
      <c r="G49" s="23" t="s">
        <v>25</v>
      </c>
      <c r="H49" s="24" t="s">
        <v>26</v>
      </c>
      <c r="I49" s="21" t="s">
        <v>23</v>
      </c>
      <c r="J49" s="25" t="s">
        <v>109</v>
      </c>
      <c r="K49" s="23" t="n">
        <v>0</v>
      </c>
      <c r="L49" s="23" t="n">
        <v>0</v>
      </c>
      <c r="M49" s="23" t="n">
        <v>0</v>
      </c>
      <c r="N49" s="23" t="n">
        <v>2</v>
      </c>
      <c r="O49" s="23" t="n">
        <v>1</v>
      </c>
      <c r="P49" s="23" t="n">
        <v>1</v>
      </c>
      <c r="Q49" s="23" t="n">
        <v>1</v>
      </c>
    </row>
    <row r="50" customFormat="false" ht="14.25" hidden="false" customHeight="false" outlineLevel="0" collapsed="false">
      <c r="B50" s="98"/>
      <c r="C50" s="98"/>
      <c r="D50" s="20" t="s">
        <v>146</v>
      </c>
      <c r="E50" s="23" t="s">
        <v>26</v>
      </c>
      <c r="F50" s="109" t="s">
        <v>80</v>
      </c>
      <c r="G50" s="23" t="s">
        <v>25</v>
      </c>
      <c r="H50" s="24" t="s">
        <v>26</v>
      </c>
      <c r="I50" s="21" t="s">
        <v>23</v>
      </c>
      <c r="J50" s="25" t="s">
        <v>109</v>
      </c>
      <c r="K50" s="23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</row>
    <row r="51" customFormat="false" ht="14.25" hidden="false" customHeight="false" outlineLevel="0" collapsed="false">
      <c r="B51" s="98"/>
      <c r="C51" s="112"/>
      <c r="D51" s="115" t="s">
        <v>147</v>
      </c>
      <c r="E51" s="116" t="s">
        <v>26</v>
      </c>
      <c r="F51" s="117" t="s">
        <v>80</v>
      </c>
      <c r="G51" s="116" t="s">
        <v>25</v>
      </c>
      <c r="H51" s="118" t="s">
        <v>26</v>
      </c>
      <c r="I51" s="119" t="s">
        <v>23</v>
      </c>
      <c r="J51" s="120" t="s">
        <v>109</v>
      </c>
      <c r="K51" s="116" t="n">
        <v>0</v>
      </c>
      <c r="L51" s="116" t="n">
        <v>0</v>
      </c>
      <c r="M51" s="116" t="n">
        <v>0</v>
      </c>
      <c r="N51" s="116" t="n">
        <v>1</v>
      </c>
      <c r="O51" s="116" t="n">
        <v>1</v>
      </c>
      <c r="P51" s="116" t="n">
        <v>0</v>
      </c>
      <c r="Q51" s="116" t="n">
        <v>1</v>
      </c>
    </row>
    <row r="52" customFormat="false" ht="14.25" hidden="false" customHeight="false" outlineLevel="0" collapsed="false">
      <c r="B52" s="98"/>
      <c r="C52" s="121" t="s">
        <v>148</v>
      </c>
      <c r="D52" s="100" t="s">
        <v>149</v>
      </c>
      <c r="E52" s="104" t="s">
        <v>23</v>
      </c>
      <c r="F52" s="104" t="s">
        <v>23</v>
      </c>
      <c r="G52" s="103" t="s">
        <v>27</v>
      </c>
      <c r="H52" s="101" t="s">
        <v>26</v>
      </c>
      <c r="I52" s="101" t="s">
        <v>26</v>
      </c>
      <c r="J52" s="122" t="s">
        <v>150</v>
      </c>
      <c r="K52" s="103" t="s">
        <v>26</v>
      </c>
      <c r="L52" s="103" t="s">
        <v>23</v>
      </c>
      <c r="M52" s="103" t="s">
        <v>23</v>
      </c>
      <c r="N52" s="103" t="s">
        <v>23</v>
      </c>
      <c r="O52" s="103" t="s">
        <v>23</v>
      </c>
      <c r="P52" s="103" t="s">
        <v>26</v>
      </c>
      <c r="Q52" s="103" t="s">
        <v>26</v>
      </c>
    </row>
    <row r="53" customFormat="false" ht="14.25" hidden="false" customHeight="false" outlineLevel="0" collapsed="false">
      <c r="B53" s="98"/>
      <c r="C53" s="98"/>
      <c r="D53" s="20" t="s">
        <v>151</v>
      </c>
      <c r="E53" s="21" t="s">
        <v>23</v>
      </c>
      <c r="F53" s="21" t="s">
        <v>23</v>
      </c>
      <c r="G53" s="23" t="s">
        <v>27</v>
      </c>
      <c r="H53" s="24" t="s">
        <v>26</v>
      </c>
      <c r="I53" s="21" t="s">
        <v>23</v>
      </c>
      <c r="J53" s="25" t="s">
        <v>109</v>
      </c>
      <c r="K53" s="23" t="s">
        <v>26</v>
      </c>
      <c r="L53" s="23" t="s">
        <v>23</v>
      </c>
      <c r="M53" s="23" t="s">
        <v>26</v>
      </c>
      <c r="N53" s="23" t="s">
        <v>23</v>
      </c>
      <c r="O53" s="23" t="s">
        <v>23</v>
      </c>
      <c r="P53" s="23" t="s">
        <v>23</v>
      </c>
      <c r="Q53" s="23" t="s">
        <v>23</v>
      </c>
    </row>
    <row r="54" customFormat="false" ht="14.25" hidden="false" customHeight="false" outlineLevel="0" collapsed="false">
      <c r="B54" s="98"/>
      <c r="C54" s="98"/>
      <c r="D54" s="20" t="s">
        <v>152</v>
      </c>
      <c r="E54" s="21" t="s">
        <v>23</v>
      </c>
      <c r="F54" s="21" t="s">
        <v>23</v>
      </c>
      <c r="G54" s="23" t="s">
        <v>27</v>
      </c>
      <c r="H54" s="24" t="s">
        <v>26</v>
      </c>
      <c r="I54" s="21" t="s">
        <v>23</v>
      </c>
      <c r="J54" s="25" t="s">
        <v>109</v>
      </c>
      <c r="K54" s="23" t="s">
        <v>26</v>
      </c>
      <c r="L54" s="23" t="s">
        <v>26</v>
      </c>
      <c r="M54" s="23" t="s">
        <v>26</v>
      </c>
      <c r="N54" s="23" t="s">
        <v>23</v>
      </c>
      <c r="O54" s="23" t="s">
        <v>26</v>
      </c>
      <c r="P54" s="23" t="s">
        <v>23</v>
      </c>
      <c r="Q54" s="23" t="s">
        <v>26</v>
      </c>
    </row>
    <row r="55" customFormat="false" ht="14.25" hidden="false" customHeight="false" outlineLevel="0" collapsed="false">
      <c r="B55" s="98"/>
      <c r="C55" s="98"/>
      <c r="D55" s="20" t="s">
        <v>153</v>
      </c>
      <c r="E55" s="21" t="s">
        <v>23</v>
      </c>
      <c r="F55" s="21" t="s">
        <v>23</v>
      </c>
      <c r="G55" s="23" t="s">
        <v>27</v>
      </c>
      <c r="H55" s="24" t="s">
        <v>26</v>
      </c>
      <c r="I55" s="21" t="s">
        <v>23</v>
      </c>
      <c r="J55" s="25" t="s">
        <v>109</v>
      </c>
      <c r="K55" s="23" t="s">
        <v>26</v>
      </c>
      <c r="L55" s="23" t="s">
        <v>26</v>
      </c>
      <c r="M55" s="23" t="s">
        <v>26</v>
      </c>
      <c r="N55" s="23" t="s">
        <v>23</v>
      </c>
      <c r="O55" s="23" t="s">
        <v>26</v>
      </c>
      <c r="P55" s="23" t="s">
        <v>23</v>
      </c>
      <c r="Q55" s="23" t="s">
        <v>23</v>
      </c>
    </row>
    <row r="56" customFormat="false" ht="14.25" hidden="false" customHeight="false" outlineLevel="0" collapsed="false">
      <c r="B56" s="98"/>
      <c r="C56" s="98"/>
      <c r="D56" s="20" t="s">
        <v>154</v>
      </c>
      <c r="E56" s="21" t="s">
        <v>23</v>
      </c>
      <c r="F56" s="21" t="s">
        <v>23</v>
      </c>
      <c r="G56" s="23" t="s">
        <v>27</v>
      </c>
      <c r="H56" s="24" t="s">
        <v>26</v>
      </c>
      <c r="I56" s="21" t="s">
        <v>23</v>
      </c>
      <c r="J56" s="25" t="s">
        <v>109</v>
      </c>
      <c r="K56" s="23" t="s">
        <v>81</v>
      </c>
      <c r="L56" s="23" t="s">
        <v>23</v>
      </c>
      <c r="M56" s="23" t="s">
        <v>26</v>
      </c>
      <c r="N56" s="23" t="s">
        <v>23</v>
      </c>
      <c r="O56" s="23" t="s">
        <v>23</v>
      </c>
      <c r="P56" s="23" t="s">
        <v>23</v>
      </c>
      <c r="Q56" s="23" t="s">
        <v>23</v>
      </c>
    </row>
    <row r="57" customFormat="false" ht="14.25" hidden="false" customHeight="false" outlineLevel="0" collapsed="false">
      <c r="B57" s="98"/>
      <c r="C57" s="98"/>
      <c r="D57" s="40" t="s">
        <v>155</v>
      </c>
      <c r="E57" s="43" t="s">
        <v>23</v>
      </c>
      <c r="F57" s="43" t="s">
        <v>23</v>
      </c>
      <c r="G57" s="41" t="s">
        <v>27</v>
      </c>
      <c r="H57" s="123" t="s">
        <v>26</v>
      </c>
      <c r="I57" s="43" t="s">
        <v>23</v>
      </c>
      <c r="J57" s="44" t="s">
        <v>109</v>
      </c>
      <c r="K57" s="41" t="s">
        <v>26</v>
      </c>
      <c r="L57" s="41" t="s">
        <v>26</v>
      </c>
      <c r="M57" s="41" t="s">
        <v>26</v>
      </c>
      <c r="N57" s="41" t="s">
        <v>26</v>
      </c>
      <c r="O57" s="41" t="s">
        <v>26</v>
      </c>
      <c r="P57" s="41" t="s">
        <v>26</v>
      </c>
      <c r="Q57" s="41" t="s">
        <v>26</v>
      </c>
    </row>
    <row r="58" customFormat="false" ht="14.25" hidden="false" customHeight="true" outlineLevel="0" collapsed="false">
      <c r="B58" s="124" t="s">
        <v>156</v>
      </c>
      <c r="C58" s="125" t="s">
        <v>157</v>
      </c>
      <c r="D58" s="88" t="s">
        <v>158</v>
      </c>
      <c r="E58" s="126" t="s">
        <v>80</v>
      </c>
      <c r="F58" s="126" t="s">
        <v>80</v>
      </c>
      <c r="G58" s="90" t="s">
        <v>81</v>
      </c>
      <c r="H58" s="89" t="s">
        <v>26</v>
      </c>
      <c r="I58" s="91" t="s">
        <v>23</v>
      </c>
      <c r="J58" s="92" t="s">
        <v>109</v>
      </c>
      <c r="K58" s="90"/>
      <c r="L58" s="127" t="n">
        <v>0.6</v>
      </c>
      <c r="M58" s="90" t="n">
        <v>80</v>
      </c>
      <c r="N58" s="90"/>
      <c r="O58" s="90"/>
      <c r="P58" s="90"/>
      <c r="Q58" s="90"/>
    </row>
    <row r="59" customFormat="false" ht="14.25" hidden="false" customHeight="false" outlineLevel="0" collapsed="false">
      <c r="B59" s="124"/>
      <c r="C59" s="124"/>
      <c r="D59" s="53" t="s">
        <v>159</v>
      </c>
      <c r="E59" s="58" t="s">
        <v>80</v>
      </c>
      <c r="F59" s="58" t="s">
        <v>80</v>
      </c>
      <c r="G59" s="56" t="s">
        <v>81</v>
      </c>
      <c r="H59" s="54" t="s">
        <v>26</v>
      </c>
      <c r="I59" s="75" t="s">
        <v>23</v>
      </c>
      <c r="J59" s="60" t="s">
        <v>109</v>
      </c>
      <c r="K59" s="128"/>
      <c r="L59" s="129"/>
      <c r="M59" s="128"/>
      <c r="N59" s="128"/>
      <c r="O59" s="128"/>
      <c r="P59" s="128"/>
      <c r="Q59" s="128"/>
    </row>
    <row r="60" customFormat="false" ht="14.25" hidden="false" customHeight="false" outlineLevel="0" collapsed="false">
      <c r="B60" s="124"/>
      <c r="C60" s="124"/>
      <c r="D60" s="78" t="s">
        <v>160</v>
      </c>
      <c r="E60" s="58" t="s">
        <v>80</v>
      </c>
      <c r="F60" s="58" t="s">
        <v>80</v>
      </c>
      <c r="G60" s="56" t="s">
        <v>81</v>
      </c>
      <c r="H60" s="54" t="s">
        <v>26</v>
      </c>
      <c r="I60" s="75" t="s">
        <v>23</v>
      </c>
      <c r="J60" s="60" t="s">
        <v>109</v>
      </c>
      <c r="K60" s="56" t="s">
        <v>82</v>
      </c>
      <c r="L60" s="56" t="s">
        <v>82</v>
      </c>
      <c r="M60" s="56" t="s">
        <v>82</v>
      </c>
      <c r="N60" s="56" t="s">
        <v>82</v>
      </c>
      <c r="O60" s="56" t="s">
        <v>82</v>
      </c>
      <c r="P60" s="56" t="s">
        <v>82</v>
      </c>
      <c r="Q60" s="56" t="s">
        <v>82</v>
      </c>
    </row>
    <row r="61" customFormat="false" ht="14.25" hidden="false" customHeight="false" outlineLevel="0" collapsed="false">
      <c r="B61" s="124"/>
      <c r="C61" s="124"/>
      <c r="D61" s="78" t="s">
        <v>161</v>
      </c>
      <c r="E61" s="58" t="s">
        <v>80</v>
      </c>
      <c r="F61" s="58" t="s">
        <v>80</v>
      </c>
      <c r="G61" s="56" t="s">
        <v>81</v>
      </c>
      <c r="H61" s="54" t="s">
        <v>26</v>
      </c>
      <c r="I61" s="75" t="s">
        <v>23</v>
      </c>
      <c r="J61" s="60" t="s">
        <v>109</v>
      </c>
      <c r="K61" s="56" t="s">
        <v>82</v>
      </c>
      <c r="L61" s="56" t="s">
        <v>82</v>
      </c>
      <c r="M61" s="56" t="s">
        <v>82</v>
      </c>
      <c r="N61" s="56" t="s">
        <v>82</v>
      </c>
      <c r="O61" s="56" t="s">
        <v>82</v>
      </c>
      <c r="P61" s="56" t="s">
        <v>162</v>
      </c>
      <c r="Q61" s="56" t="s">
        <v>162</v>
      </c>
    </row>
    <row r="62" customFormat="false" ht="14.25" hidden="false" customHeight="false" outlineLevel="0" collapsed="false">
      <c r="B62" s="124"/>
      <c r="C62" s="124"/>
      <c r="D62" s="78" t="s">
        <v>163</v>
      </c>
      <c r="E62" s="58" t="s">
        <v>80</v>
      </c>
      <c r="F62" s="58" t="s">
        <v>80</v>
      </c>
      <c r="G62" s="56" t="s">
        <v>81</v>
      </c>
      <c r="H62" s="54" t="s">
        <v>26</v>
      </c>
      <c r="I62" s="75" t="s">
        <v>23</v>
      </c>
      <c r="J62" s="60" t="s">
        <v>109</v>
      </c>
      <c r="K62" s="56" t="s">
        <v>162</v>
      </c>
      <c r="L62" s="56" t="s">
        <v>162</v>
      </c>
      <c r="M62" s="56" t="s">
        <v>82</v>
      </c>
      <c r="N62" s="56" t="s">
        <v>82</v>
      </c>
      <c r="O62" s="56" t="s">
        <v>82</v>
      </c>
      <c r="P62" s="56" t="s">
        <v>82</v>
      </c>
      <c r="Q62" s="56" t="s">
        <v>82</v>
      </c>
    </row>
    <row r="63" customFormat="false" ht="14.25" hidden="false" customHeight="false" outlineLevel="0" collapsed="false">
      <c r="B63" s="124"/>
      <c r="C63" s="124"/>
      <c r="D63" s="78" t="s">
        <v>164</v>
      </c>
      <c r="E63" s="58" t="s">
        <v>80</v>
      </c>
      <c r="F63" s="58" t="s">
        <v>80</v>
      </c>
      <c r="G63" s="56" t="s">
        <v>81</v>
      </c>
      <c r="H63" s="54" t="s">
        <v>26</v>
      </c>
      <c r="I63" s="75" t="s">
        <v>23</v>
      </c>
      <c r="J63" s="60" t="s">
        <v>109</v>
      </c>
      <c r="K63" s="56" t="s">
        <v>82</v>
      </c>
      <c r="L63" s="56" t="s">
        <v>82</v>
      </c>
      <c r="M63" s="56" t="s">
        <v>162</v>
      </c>
      <c r="N63" s="56" t="s">
        <v>162</v>
      </c>
      <c r="O63" s="56" t="s">
        <v>162</v>
      </c>
      <c r="P63" s="56" t="s">
        <v>82</v>
      </c>
      <c r="Q63" s="56" t="s">
        <v>82</v>
      </c>
    </row>
    <row r="64" customFormat="false" ht="14.25" hidden="false" customHeight="false" outlineLevel="0" collapsed="false">
      <c r="B64" s="124"/>
      <c r="C64" s="125"/>
      <c r="D64" s="61" t="s">
        <v>165</v>
      </c>
      <c r="E64" s="130" t="s">
        <v>80</v>
      </c>
      <c r="F64" s="130" t="s">
        <v>80</v>
      </c>
      <c r="G64" s="64" t="s">
        <v>81</v>
      </c>
      <c r="H64" s="62" t="s">
        <v>26</v>
      </c>
      <c r="I64" s="131" t="s">
        <v>23</v>
      </c>
      <c r="J64" s="66" t="s">
        <v>109</v>
      </c>
      <c r="K64" s="132"/>
      <c r="L64" s="132"/>
      <c r="M64" s="132"/>
      <c r="N64" s="132"/>
      <c r="O64" s="132"/>
      <c r="P64" s="132"/>
      <c r="Q64" s="132"/>
    </row>
    <row r="65" customFormat="false" ht="14.25" hidden="false" customHeight="false" outlineLevel="0" collapsed="false">
      <c r="B65" s="124"/>
      <c r="C65" s="133" t="s">
        <v>166</v>
      </c>
      <c r="D65" s="68" t="s">
        <v>167</v>
      </c>
      <c r="E65" s="70" t="s">
        <v>80</v>
      </c>
      <c r="F65" s="70" t="s">
        <v>80</v>
      </c>
      <c r="G65" s="71" t="s">
        <v>81</v>
      </c>
      <c r="H65" s="69" t="s">
        <v>26</v>
      </c>
      <c r="I65" s="72" t="s">
        <v>23</v>
      </c>
      <c r="J65" s="73" t="s">
        <v>109</v>
      </c>
      <c r="K65" s="71"/>
      <c r="L65" s="134" t="n">
        <v>0.4</v>
      </c>
      <c r="M65" s="71" t="n">
        <v>20</v>
      </c>
      <c r="N65" s="71"/>
      <c r="O65" s="71"/>
      <c r="P65" s="71"/>
      <c r="Q65" s="71"/>
    </row>
    <row r="66" customFormat="false" ht="14.25" hidden="false" customHeight="false" outlineLevel="0" collapsed="false">
      <c r="B66" s="124"/>
      <c r="C66" s="124"/>
      <c r="D66" s="53" t="s">
        <v>168</v>
      </c>
      <c r="E66" s="58" t="s">
        <v>80</v>
      </c>
      <c r="F66" s="58" t="s">
        <v>80</v>
      </c>
      <c r="G66" s="56" t="s">
        <v>81</v>
      </c>
      <c r="H66" s="54" t="s">
        <v>26</v>
      </c>
      <c r="I66" s="75" t="s">
        <v>23</v>
      </c>
      <c r="J66" s="60" t="s">
        <v>109</v>
      </c>
      <c r="K66" s="56"/>
      <c r="L66" s="77"/>
      <c r="M66" s="56"/>
      <c r="N66" s="56"/>
      <c r="O66" s="56"/>
      <c r="P66" s="56"/>
      <c r="Q66" s="56"/>
    </row>
    <row r="67" customFormat="false" ht="14.25" hidden="false" customHeight="false" outlineLevel="0" collapsed="false">
      <c r="B67" s="124"/>
      <c r="C67" s="133"/>
      <c r="D67" s="135" t="s">
        <v>169</v>
      </c>
      <c r="E67" s="80" t="s">
        <v>80</v>
      </c>
      <c r="F67" s="80" t="s">
        <v>80</v>
      </c>
      <c r="G67" s="81" t="s">
        <v>81</v>
      </c>
      <c r="H67" s="82" t="s">
        <v>26</v>
      </c>
      <c r="I67" s="83" t="s">
        <v>23</v>
      </c>
      <c r="J67" s="84" t="s">
        <v>109</v>
      </c>
      <c r="K67" s="81"/>
      <c r="L67" s="86"/>
      <c r="M67" s="81"/>
      <c r="N67" s="81"/>
      <c r="O67" s="81"/>
      <c r="P67" s="81"/>
      <c r="Q67" s="81"/>
    </row>
    <row r="68" customFormat="false" ht="14.25" hidden="false" customHeight="false" outlineLevel="0" collapsed="false">
      <c r="B68" s="124"/>
      <c r="C68" s="136" t="s">
        <v>170</v>
      </c>
      <c r="D68" s="68" t="s">
        <v>171</v>
      </c>
      <c r="E68" s="70" t="s">
        <v>80</v>
      </c>
      <c r="F68" s="70" t="s">
        <v>80</v>
      </c>
      <c r="G68" s="71" t="s">
        <v>102</v>
      </c>
      <c r="H68" s="69" t="s">
        <v>26</v>
      </c>
      <c r="I68" s="72" t="s">
        <v>23</v>
      </c>
      <c r="J68" s="73" t="s">
        <v>109</v>
      </c>
      <c r="K68" s="71"/>
      <c r="L68" s="134" t="n">
        <v>0.6</v>
      </c>
      <c r="M68" s="71" t="n">
        <v>70</v>
      </c>
      <c r="N68" s="71"/>
      <c r="O68" s="71"/>
      <c r="P68" s="71"/>
      <c r="Q68" s="71"/>
    </row>
    <row r="69" customFormat="false" ht="14.25" hidden="false" customHeight="false" outlineLevel="0" collapsed="false">
      <c r="B69" s="124"/>
      <c r="C69" s="136"/>
      <c r="D69" s="135" t="s">
        <v>172</v>
      </c>
      <c r="E69" s="80" t="s">
        <v>80</v>
      </c>
      <c r="F69" s="80" t="s">
        <v>80</v>
      </c>
      <c r="G69" s="81" t="s">
        <v>102</v>
      </c>
      <c r="H69" s="82" t="s">
        <v>26</v>
      </c>
      <c r="I69" s="83" t="s">
        <v>23</v>
      </c>
      <c r="J69" s="84" t="s">
        <v>109</v>
      </c>
      <c r="K69" s="81"/>
      <c r="L69" s="86" t="n">
        <v>0.4</v>
      </c>
      <c r="M69" s="81" t="n">
        <v>30</v>
      </c>
      <c r="N69" s="81"/>
      <c r="O69" s="81"/>
      <c r="P69" s="81"/>
      <c r="Q69" s="81"/>
    </row>
    <row r="70" customFormat="false" ht="14.25" hidden="false" customHeight="true" outlineLevel="0" collapsed="false">
      <c r="B70" s="124"/>
      <c r="C70" s="137" t="s">
        <v>173</v>
      </c>
      <c r="D70" s="68" t="s">
        <v>174</v>
      </c>
      <c r="E70" s="72" t="s">
        <v>23</v>
      </c>
      <c r="F70" s="72" t="s">
        <v>23</v>
      </c>
      <c r="G70" s="71" t="s">
        <v>27</v>
      </c>
      <c r="H70" s="69" t="s">
        <v>26</v>
      </c>
      <c r="I70" s="69" t="s">
        <v>26</v>
      </c>
      <c r="J70" s="138" t="s">
        <v>175</v>
      </c>
      <c r="K70" s="71" t="s">
        <v>162</v>
      </c>
      <c r="L70" s="71" t="s">
        <v>162</v>
      </c>
      <c r="M70" s="71" t="s">
        <v>162</v>
      </c>
      <c r="N70" s="71" t="s">
        <v>162</v>
      </c>
      <c r="O70" s="71" t="s">
        <v>162</v>
      </c>
      <c r="P70" s="71" t="s">
        <v>162</v>
      </c>
      <c r="Q70" s="71" t="s">
        <v>162</v>
      </c>
    </row>
    <row r="71" customFormat="false" ht="14.25" hidden="false" customHeight="false" outlineLevel="0" collapsed="false">
      <c r="B71" s="124"/>
      <c r="C71" s="124"/>
      <c r="D71" s="53" t="s">
        <v>176</v>
      </c>
      <c r="E71" s="75" t="s">
        <v>23</v>
      </c>
      <c r="F71" s="75" t="s">
        <v>23</v>
      </c>
      <c r="G71" s="56" t="s">
        <v>27</v>
      </c>
      <c r="H71" s="54" t="s">
        <v>26</v>
      </c>
      <c r="I71" s="54" t="s">
        <v>26</v>
      </c>
      <c r="J71" s="57" t="s">
        <v>175</v>
      </c>
      <c r="K71" s="56"/>
      <c r="L71" s="56"/>
      <c r="M71" s="56" t="s">
        <v>162</v>
      </c>
      <c r="N71" s="56" t="s">
        <v>162</v>
      </c>
      <c r="O71" s="56"/>
      <c r="P71" s="56" t="s">
        <v>162</v>
      </c>
      <c r="Q71" s="56" t="s">
        <v>162</v>
      </c>
    </row>
    <row r="72" customFormat="false" ht="14.25" hidden="false" customHeight="false" outlineLevel="0" collapsed="false">
      <c r="B72" s="124"/>
      <c r="C72" s="124"/>
      <c r="D72" s="53" t="s">
        <v>177</v>
      </c>
      <c r="E72" s="75" t="s">
        <v>23</v>
      </c>
      <c r="F72" s="75" t="s">
        <v>23</v>
      </c>
      <c r="G72" s="56" t="s">
        <v>27</v>
      </c>
      <c r="H72" s="54" t="s">
        <v>26</v>
      </c>
      <c r="I72" s="54" t="s">
        <v>26</v>
      </c>
      <c r="J72" s="57" t="s">
        <v>175</v>
      </c>
      <c r="K72" s="56" t="s">
        <v>162</v>
      </c>
      <c r="L72" s="56" t="s">
        <v>162</v>
      </c>
      <c r="M72" s="56" t="s">
        <v>162</v>
      </c>
      <c r="N72" s="56" t="s">
        <v>162</v>
      </c>
      <c r="O72" s="56" t="s">
        <v>162</v>
      </c>
      <c r="P72" s="56" t="s">
        <v>162</v>
      </c>
      <c r="Q72" s="56" t="s">
        <v>162</v>
      </c>
    </row>
    <row r="73" customFormat="false" ht="14.25" hidden="false" customHeight="false" outlineLevel="0" collapsed="false">
      <c r="B73" s="124"/>
      <c r="C73" s="124"/>
      <c r="D73" s="53" t="s">
        <v>178</v>
      </c>
      <c r="E73" s="75" t="s">
        <v>23</v>
      </c>
      <c r="F73" s="75" t="s">
        <v>23</v>
      </c>
      <c r="G73" s="56" t="s">
        <v>27</v>
      </c>
      <c r="H73" s="54" t="s">
        <v>26</v>
      </c>
      <c r="I73" s="54" t="s">
        <v>26</v>
      </c>
      <c r="J73" s="57" t="s">
        <v>175</v>
      </c>
      <c r="K73" s="56" t="s">
        <v>162</v>
      </c>
      <c r="L73" s="56" t="s">
        <v>162</v>
      </c>
      <c r="M73" s="56" t="s">
        <v>162</v>
      </c>
      <c r="N73" s="56"/>
      <c r="O73" s="56" t="s">
        <v>162</v>
      </c>
      <c r="P73" s="56" t="s">
        <v>162</v>
      </c>
      <c r="Q73" s="56" t="s">
        <v>162</v>
      </c>
    </row>
    <row r="74" customFormat="false" ht="14.25" hidden="false" customHeight="false" outlineLevel="0" collapsed="false">
      <c r="B74" s="124"/>
      <c r="C74" s="124"/>
      <c r="D74" s="53" t="s">
        <v>179</v>
      </c>
      <c r="E74" s="75" t="s">
        <v>23</v>
      </c>
      <c r="F74" s="75" t="s">
        <v>23</v>
      </c>
      <c r="G74" s="56" t="s">
        <v>27</v>
      </c>
      <c r="H74" s="54" t="s">
        <v>26</v>
      </c>
      <c r="I74" s="54" t="s">
        <v>26</v>
      </c>
      <c r="J74" s="57" t="s">
        <v>175</v>
      </c>
      <c r="K74" s="56" t="s">
        <v>162</v>
      </c>
      <c r="L74" s="56" t="s">
        <v>162</v>
      </c>
      <c r="M74" s="56" t="s">
        <v>162</v>
      </c>
      <c r="N74" s="56" t="s">
        <v>162</v>
      </c>
      <c r="O74" s="56" t="s">
        <v>162</v>
      </c>
      <c r="P74" s="56" t="s">
        <v>162</v>
      </c>
      <c r="Q74" s="56" t="s">
        <v>162</v>
      </c>
    </row>
    <row r="75" customFormat="false" ht="14.25" hidden="false" customHeight="false" outlineLevel="0" collapsed="false">
      <c r="B75" s="124"/>
      <c r="C75" s="124"/>
      <c r="D75" s="53" t="s">
        <v>180</v>
      </c>
      <c r="E75" s="75" t="s">
        <v>23</v>
      </c>
      <c r="F75" s="75" t="s">
        <v>23</v>
      </c>
      <c r="G75" s="56" t="s">
        <v>27</v>
      </c>
      <c r="H75" s="54" t="s">
        <v>26</v>
      </c>
      <c r="I75" s="54" t="s">
        <v>26</v>
      </c>
      <c r="J75" s="57" t="s">
        <v>175</v>
      </c>
      <c r="K75" s="56" t="s">
        <v>162</v>
      </c>
      <c r="L75" s="56" t="s">
        <v>162</v>
      </c>
      <c r="M75" s="56" t="s">
        <v>162</v>
      </c>
      <c r="N75" s="56"/>
      <c r="O75" s="56" t="s">
        <v>162</v>
      </c>
      <c r="P75" s="56" t="s">
        <v>162</v>
      </c>
      <c r="Q75" s="56" t="s">
        <v>162</v>
      </c>
    </row>
    <row r="76" customFormat="false" ht="14.25" hidden="false" customHeight="false" outlineLevel="0" collapsed="false">
      <c r="B76" s="124"/>
      <c r="C76" s="137"/>
      <c r="D76" s="135" t="s">
        <v>181</v>
      </c>
      <c r="E76" s="83" t="s">
        <v>23</v>
      </c>
      <c r="F76" s="83" t="s">
        <v>23</v>
      </c>
      <c r="G76" s="81" t="s">
        <v>27</v>
      </c>
      <c r="H76" s="82" t="s">
        <v>26</v>
      </c>
      <c r="I76" s="82" t="s">
        <v>26</v>
      </c>
      <c r="J76" s="139" t="s">
        <v>175</v>
      </c>
      <c r="K76" s="81"/>
      <c r="L76" s="81"/>
      <c r="M76" s="81"/>
      <c r="N76" s="81" t="s">
        <v>162</v>
      </c>
      <c r="O76" s="81" t="s">
        <v>162</v>
      </c>
      <c r="P76" s="81" t="s">
        <v>162</v>
      </c>
      <c r="Q76" s="81"/>
    </row>
    <row r="77" customFormat="false" ht="14.25" hidden="false" customHeight="true" outlineLevel="0" collapsed="false">
      <c r="B77" s="124"/>
      <c r="C77" s="124" t="s">
        <v>182</v>
      </c>
      <c r="D77" s="88" t="s">
        <v>183</v>
      </c>
      <c r="E77" s="91" t="s">
        <v>23</v>
      </c>
      <c r="F77" s="91" t="s">
        <v>23</v>
      </c>
      <c r="G77" s="90" t="s">
        <v>27</v>
      </c>
      <c r="H77" s="89" t="s">
        <v>26</v>
      </c>
      <c r="I77" s="89" t="s">
        <v>26</v>
      </c>
      <c r="J77" s="122" t="s">
        <v>175</v>
      </c>
      <c r="K77" s="56" t="s">
        <v>162</v>
      </c>
      <c r="L77" s="56" t="s">
        <v>162</v>
      </c>
      <c r="M77" s="56" t="s">
        <v>162</v>
      </c>
      <c r="N77" s="90" t="s">
        <v>162</v>
      </c>
      <c r="O77" s="90" t="s">
        <v>162</v>
      </c>
      <c r="P77" s="90" t="s">
        <v>162</v>
      </c>
      <c r="Q77" s="90" t="s">
        <v>162</v>
      </c>
    </row>
    <row r="78" customFormat="false" ht="14.25" hidden="false" customHeight="false" outlineLevel="0" collapsed="false">
      <c r="B78" s="124"/>
      <c r="C78" s="124"/>
      <c r="D78" s="53" t="s">
        <v>184</v>
      </c>
      <c r="E78" s="75" t="s">
        <v>23</v>
      </c>
      <c r="F78" s="75" t="s">
        <v>23</v>
      </c>
      <c r="G78" s="56" t="s">
        <v>27</v>
      </c>
      <c r="H78" s="54" t="s">
        <v>26</v>
      </c>
      <c r="I78" s="54" t="s">
        <v>26</v>
      </c>
      <c r="J78" s="57" t="s">
        <v>175</v>
      </c>
      <c r="K78" s="56" t="s">
        <v>162</v>
      </c>
      <c r="L78" s="56" t="s">
        <v>162</v>
      </c>
      <c r="M78" s="56" t="s">
        <v>162</v>
      </c>
      <c r="N78" s="56" t="s">
        <v>162</v>
      </c>
      <c r="O78" s="56" t="s">
        <v>162</v>
      </c>
      <c r="P78" s="56" t="s">
        <v>162</v>
      </c>
      <c r="Q78" s="56" t="s">
        <v>162</v>
      </c>
    </row>
    <row r="79" customFormat="false" ht="14.25" hidden="false" customHeight="false" outlineLevel="0" collapsed="false">
      <c r="B79" s="124"/>
      <c r="C79" s="124"/>
      <c r="D79" s="53" t="s">
        <v>185</v>
      </c>
      <c r="E79" s="75" t="s">
        <v>23</v>
      </c>
      <c r="F79" s="75" t="s">
        <v>23</v>
      </c>
      <c r="G79" s="56" t="s">
        <v>27</v>
      </c>
      <c r="H79" s="54" t="s">
        <v>26</v>
      </c>
      <c r="I79" s="54" t="s">
        <v>26</v>
      </c>
      <c r="J79" s="57" t="s">
        <v>175</v>
      </c>
      <c r="K79" s="56"/>
      <c r="L79" s="56"/>
      <c r="M79" s="56"/>
      <c r="N79" s="56" t="s">
        <v>162</v>
      </c>
      <c r="O79" s="56" t="s">
        <v>162</v>
      </c>
      <c r="P79" s="56" t="s">
        <v>162</v>
      </c>
      <c r="Q79" s="56"/>
    </row>
    <row r="80" customFormat="false" ht="14.25" hidden="false" customHeight="false" outlineLevel="0" collapsed="false">
      <c r="B80" s="124"/>
      <c r="C80" s="124"/>
      <c r="D80" s="53" t="s">
        <v>186</v>
      </c>
      <c r="E80" s="75" t="s">
        <v>23</v>
      </c>
      <c r="F80" s="75" t="s">
        <v>23</v>
      </c>
      <c r="G80" s="56" t="s">
        <v>27</v>
      </c>
      <c r="H80" s="54" t="s">
        <v>26</v>
      </c>
      <c r="I80" s="54" t="s">
        <v>26</v>
      </c>
      <c r="J80" s="57" t="s">
        <v>175</v>
      </c>
      <c r="K80" s="56" t="s">
        <v>162</v>
      </c>
      <c r="L80" s="56"/>
      <c r="M80" s="56"/>
      <c r="N80" s="56" t="s">
        <v>162</v>
      </c>
      <c r="O80" s="56" t="s">
        <v>162</v>
      </c>
      <c r="P80" s="56" t="s">
        <v>162</v>
      </c>
      <c r="Q80" s="56"/>
    </row>
    <row r="81" customFormat="false" ht="14.25" hidden="false" customHeight="false" outlineLevel="0" collapsed="false">
      <c r="B81" s="124"/>
      <c r="C81" s="124"/>
      <c r="D81" s="53" t="s">
        <v>187</v>
      </c>
      <c r="E81" s="75" t="s">
        <v>23</v>
      </c>
      <c r="F81" s="75" t="s">
        <v>23</v>
      </c>
      <c r="G81" s="56" t="s">
        <v>27</v>
      </c>
      <c r="H81" s="54" t="s">
        <v>26</v>
      </c>
      <c r="I81" s="54" t="s">
        <v>26</v>
      </c>
      <c r="J81" s="57" t="s">
        <v>175</v>
      </c>
      <c r="K81" s="56" t="s">
        <v>162</v>
      </c>
      <c r="L81" s="56"/>
      <c r="M81" s="56"/>
      <c r="N81" s="56" t="s">
        <v>162</v>
      </c>
      <c r="O81" s="56" t="s">
        <v>162</v>
      </c>
      <c r="P81" s="56"/>
      <c r="Q81" s="56"/>
    </row>
    <row r="82" customFormat="false" ht="14.25" hidden="false" customHeight="false" outlineLevel="0" collapsed="false">
      <c r="B82" s="124"/>
      <c r="C82" s="124"/>
      <c r="D82" s="53" t="s">
        <v>188</v>
      </c>
      <c r="E82" s="75" t="s">
        <v>23</v>
      </c>
      <c r="F82" s="75" t="s">
        <v>23</v>
      </c>
      <c r="G82" s="56" t="s">
        <v>27</v>
      </c>
      <c r="H82" s="54" t="s">
        <v>26</v>
      </c>
      <c r="I82" s="54" t="s">
        <v>26</v>
      </c>
      <c r="J82" s="57" t="s">
        <v>175</v>
      </c>
      <c r="K82" s="56" t="s">
        <v>162</v>
      </c>
      <c r="L82" s="56"/>
      <c r="M82" s="56"/>
      <c r="N82" s="56" t="s">
        <v>162</v>
      </c>
      <c r="O82" s="56" t="s">
        <v>162</v>
      </c>
      <c r="P82" s="56" t="s">
        <v>162</v>
      </c>
      <c r="Q82" s="56" t="s">
        <v>162</v>
      </c>
    </row>
    <row r="83" customFormat="false" ht="14.25" hidden="false" customHeight="false" outlineLevel="0" collapsed="false">
      <c r="B83" s="124"/>
      <c r="C83" s="124"/>
      <c r="D83" s="140" t="s">
        <v>189</v>
      </c>
      <c r="E83" s="96" t="s">
        <v>23</v>
      </c>
      <c r="F83" s="96" t="s">
        <v>23</v>
      </c>
      <c r="G83" s="95" t="s">
        <v>27</v>
      </c>
      <c r="H83" s="94" t="s">
        <v>26</v>
      </c>
      <c r="I83" s="94" t="s">
        <v>26</v>
      </c>
      <c r="J83" s="141" t="s">
        <v>175</v>
      </c>
      <c r="K83" s="95" t="s">
        <v>162</v>
      </c>
      <c r="L83" s="95"/>
      <c r="M83" s="95" t="s">
        <v>162</v>
      </c>
      <c r="N83" s="95" t="s">
        <v>162</v>
      </c>
      <c r="O83" s="95" t="s">
        <v>162</v>
      </c>
      <c r="P83" s="95" t="s">
        <v>162</v>
      </c>
      <c r="Q83" s="95"/>
    </row>
    <row r="84" customFormat="false" ht="14.25" hidden="false" customHeight="true" outlineLevel="0" collapsed="false">
      <c r="B84" s="142" t="s">
        <v>190</v>
      </c>
      <c r="C84" s="99" t="s">
        <v>191</v>
      </c>
      <c r="D84" s="99" t="s">
        <v>192</v>
      </c>
      <c r="E84" s="143" t="s">
        <v>23</v>
      </c>
      <c r="F84" s="143" t="s">
        <v>23</v>
      </c>
      <c r="G84" s="144" t="s">
        <v>27</v>
      </c>
      <c r="H84" s="145" t="s">
        <v>26</v>
      </c>
      <c r="I84" s="143" t="s">
        <v>23</v>
      </c>
      <c r="J84" s="146" t="s">
        <v>193</v>
      </c>
      <c r="K84" s="144" t="s">
        <v>26</v>
      </c>
      <c r="L84" s="144" t="s">
        <v>26</v>
      </c>
      <c r="M84" s="144" t="s">
        <v>26</v>
      </c>
      <c r="N84" s="144" t="s">
        <v>23</v>
      </c>
      <c r="O84" s="144" t="s">
        <v>26</v>
      </c>
      <c r="P84" s="144" t="s">
        <v>26</v>
      </c>
      <c r="Q84" s="144" t="s">
        <v>26</v>
      </c>
    </row>
    <row r="85" customFormat="false" ht="14.25" hidden="false" customHeight="true" outlineLevel="0" collapsed="false">
      <c r="B85" s="142"/>
      <c r="C85" s="147" t="s">
        <v>194</v>
      </c>
      <c r="D85" s="33" t="s">
        <v>195</v>
      </c>
      <c r="E85" s="36" t="s">
        <v>23</v>
      </c>
      <c r="F85" s="36" t="s">
        <v>23</v>
      </c>
      <c r="G85" s="34" t="s">
        <v>27</v>
      </c>
      <c r="H85" s="114" t="s">
        <v>26</v>
      </c>
      <c r="I85" s="36" t="s">
        <v>23</v>
      </c>
      <c r="J85" s="37" t="s">
        <v>196</v>
      </c>
      <c r="K85" s="34" t="s">
        <v>26</v>
      </c>
      <c r="L85" s="34" t="s">
        <v>26</v>
      </c>
      <c r="M85" s="34" t="s">
        <v>26</v>
      </c>
      <c r="N85" s="34" t="s">
        <v>23</v>
      </c>
      <c r="O85" s="34" t="s">
        <v>26</v>
      </c>
      <c r="P85" s="34" t="s">
        <v>26</v>
      </c>
      <c r="Q85" s="34" t="s">
        <v>26</v>
      </c>
    </row>
    <row r="86" customFormat="false" ht="14.25" hidden="false" customHeight="false" outlineLevel="0" collapsed="false">
      <c r="B86" s="142"/>
      <c r="C86" s="147"/>
      <c r="D86" s="20" t="s">
        <v>197</v>
      </c>
      <c r="E86" s="21" t="s">
        <v>23</v>
      </c>
      <c r="F86" s="21" t="s">
        <v>23</v>
      </c>
      <c r="G86" s="23" t="s">
        <v>27</v>
      </c>
      <c r="H86" s="24" t="s">
        <v>26</v>
      </c>
      <c r="I86" s="21" t="s">
        <v>23</v>
      </c>
      <c r="J86" s="25" t="s">
        <v>198</v>
      </c>
      <c r="K86" s="128"/>
      <c r="L86" s="128"/>
      <c r="M86" s="128"/>
      <c r="N86" s="128"/>
      <c r="O86" s="128"/>
      <c r="P86" s="128"/>
      <c r="Q86" s="128"/>
    </row>
    <row r="87" customFormat="false" ht="14.25" hidden="false" customHeight="false" outlineLevel="0" collapsed="false">
      <c r="B87" s="142"/>
      <c r="C87" s="147"/>
      <c r="D87" s="108" t="s">
        <v>199</v>
      </c>
      <c r="E87" s="21" t="s">
        <v>23</v>
      </c>
      <c r="F87" s="21" t="s">
        <v>23</v>
      </c>
      <c r="G87" s="23" t="s">
        <v>27</v>
      </c>
      <c r="H87" s="24" t="s">
        <v>26</v>
      </c>
      <c r="I87" s="21" t="s">
        <v>23</v>
      </c>
      <c r="J87" s="25" t="s">
        <v>198</v>
      </c>
      <c r="K87" s="23" t="s">
        <v>23</v>
      </c>
      <c r="L87" s="23" t="s">
        <v>26</v>
      </c>
      <c r="M87" s="23" t="s">
        <v>26</v>
      </c>
      <c r="N87" s="23" t="s">
        <v>26</v>
      </c>
      <c r="O87" s="23" t="s">
        <v>23</v>
      </c>
      <c r="P87" s="23" t="s">
        <v>26</v>
      </c>
      <c r="Q87" s="23" t="s">
        <v>26</v>
      </c>
    </row>
    <row r="88" customFormat="false" ht="14.25" hidden="false" customHeight="false" outlineLevel="0" collapsed="false">
      <c r="B88" s="142"/>
      <c r="C88" s="147"/>
      <c r="D88" s="108" t="s">
        <v>200</v>
      </c>
      <c r="E88" s="21" t="s">
        <v>23</v>
      </c>
      <c r="F88" s="21" t="s">
        <v>23</v>
      </c>
      <c r="G88" s="23" t="s">
        <v>27</v>
      </c>
      <c r="H88" s="24" t="s">
        <v>26</v>
      </c>
      <c r="I88" s="21" t="s">
        <v>23</v>
      </c>
      <c r="J88" s="25" t="s">
        <v>198</v>
      </c>
      <c r="K88" s="23" t="s">
        <v>23</v>
      </c>
      <c r="L88" s="23" t="s">
        <v>26</v>
      </c>
      <c r="M88" s="23" t="s">
        <v>26</v>
      </c>
      <c r="N88" s="23" t="s">
        <v>23</v>
      </c>
      <c r="O88" s="23" t="s">
        <v>23</v>
      </c>
      <c r="P88" s="23" t="s">
        <v>23</v>
      </c>
      <c r="Q88" s="23" t="s">
        <v>23</v>
      </c>
    </row>
    <row r="89" customFormat="false" ht="14.25" hidden="false" customHeight="false" outlineLevel="0" collapsed="false">
      <c r="B89" s="142"/>
      <c r="C89" s="147"/>
      <c r="D89" s="108" t="s">
        <v>201</v>
      </c>
      <c r="E89" s="21" t="s">
        <v>23</v>
      </c>
      <c r="F89" s="21" t="s">
        <v>23</v>
      </c>
      <c r="G89" s="23" t="s">
        <v>27</v>
      </c>
      <c r="H89" s="24" t="s">
        <v>26</v>
      </c>
      <c r="I89" s="21" t="s">
        <v>23</v>
      </c>
      <c r="J89" s="25" t="s">
        <v>198</v>
      </c>
      <c r="K89" s="23" t="s">
        <v>26</v>
      </c>
      <c r="L89" s="23" t="s">
        <v>26</v>
      </c>
      <c r="M89" s="23" t="s">
        <v>26</v>
      </c>
      <c r="N89" s="23" t="s">
        <v>23</v>
      </c>
      <c r="O89" s="23" t="s">
        <v>26</v>
      </c>
      <c r="P89" s="23" t="s">
        <v>23</v>
      </c>
      <c r="Q89" s="23" t="s">
        <v>23</v>
      </c>
    </row>
    <row r="90" customFormat="false" ht="14.25" hidden="false" customHeight="false" outlineLevel="0" collapsed="false">
      <c r="B90" s="142"/>
      <c r="C90" s="147"/>
      <c r="D90" s="108" t="s">
        <v>202</v>
      </c>
      <c r="E90" s="21" t="s">
        <v>23</v>
      </c>
      <c r="F90" s="21" t="s">
        <v>23</v>
      </c>
      <c r="G90" s="23" t="s">
        <v>27</v>
      </c>
      <c r="H90" s="24" t="s">
        <v>26</v>
      </c>
      <c r="I90" s="21" t="s">
        <v>23</v>
      </c>
      <c r="J90" s="25" t="s">
        <v>198</v>
      </c>
      <c r="K90" s="23" t="s">
        <v>23</v>
      </c>
      <c r="L90" s="23" t="s">
        <v>23</v>
      </c>
      <c r="M90" s="23" t="s">
        <v>23</v>
      </c>
      <c r="N90" s="23" t="s">
        <v>23</v>
      </c>
      <c r="O90" s="23" t="s">
        <v>23</v>
      </c>
      <c r="P90" s="23" t="s">
        <v>23</v>
      </c>
      <c r="Q90" s="23" t="s">
        <v>23</v>
      </c>
    </row>
    <row r="91" customFormat="false" ht="14.25" hidden="false" customHeight="false" outlineLevel="0" collapsed="false">
      <c r="B91" s="142"/>
      <c r="C91" s="147"/>
      <c r="D91" s="108" t="s">
        <v>203</v>
      </c>
      <c r="E91" s="21" t="s">
        <v>23</v>
      </c>
      <c r="F91" s="21" t="s">
        <v>23</v>
      </c>
      <c r="G91" s="23" t="s">
        <v>27</v>
      </c>
      <c r="H91" s="24" t="s">
        <v>26</v>
      </c>
      <c r="I91" s="21" t="s">
        <v>23</v>
      </c>
      <c r="J91" s="25" t="s">
        <v>198</v>
      </c>
      <c r="K91" s="23" t="s">
        <v>23</v>
      </c>
      <c r="L91" s="23" t="s">
        <v>23</v>
      </c>
      <c r="M91" s="23" t="s">
        <v>23</v>
      </c>
      <c r="N91" s="23" t="s">
        <v>23</v>
      </c>
      <c r="O91" s="23" t="s">
        <v>23</v>
      </c>
      <c r="P91" s="23" t="s">
        <v>23</v>
      </c>
      <c r="Q91" s="23" t="s">
        <v>23</v>
      </c>
    </row>
    <row r="92" customFormat="false" ht="14.25" hidden="false" customHeight="false" outlineLevel="0" collapsed="false">
      <c r="B92" s="142"/>
      <c r="C92" s="147"/>
      <c r="D92" s="20" t="s">
        <v>204</v>
      </c>
      <c r="E92" s="21" t="s">
        <v>23</v>
      </c>
      <c r="F92" s="21" t="s">
        <v>23</v>
      </c>
      <c r="G92" s="23" t="s">
        <v>27</v>
      </c>
      <c r="H92" s="24" t="s">
        <v>26</v>
      </c>
      <c r="I92" s="21" t="s">
        <v>23</v>
      </c>
      <c r="J92" s="25" t="s">
        <v>205</v>
      </c>
      <c r="K92" s="128"/>
      <c r="L92" s="128"/>
      <c r="M92" s="128"/>
      <c r="N92" s="128"/>
      <c r="O92" s="128"/>
      <c r="P92" s="128"/>
      <c r="Q92" s="128"/>
    </row>
    <row r="93" customFormat="false" ht="14.25" hidden="false" customHeight="false" outlineLevel="0" collapsed="false">
      <c r="B93" s="142"/>
      <c r="C93" s="147"/>
      <c r="D93" s="108" t="s">
        <v>206</v>
      </c>
      <c r="E93" s="21" t="s">
        <v>23</v>
      </c>
      <c r="F93" s="21" t="s">
        <v>23</v>
      </c>
      <c r="G93" s="23" t="s">
        <v>27</v>
      </c>
      <c r="H93" s="24" t="s">
        <v>26</v>
      </c>
      <c r="I93" s="21" t="s">
        <v>23</v>
      </c>
      <c r="J93" s="25" t="s">
        <v>205</v>
      </c>
      <c r="K93" s="76"/>
      <c r="L93" s="23" t="s">
        <v>162</v>
      </c>
      <c r="M93" s="23" t="s">
        <v>162</v>
      </c>
      <c r="N93" s="23" t="s">
        <v>162</v>
      </c>
      <c r="O93" s="76"/>
      <c r="P93" s="23" t="s">
        <v>162</v>
      </c>
      <c r="Q93" s="23" t="s">
        <v>162</v>
      </c>
    </row>
    <row r="94" customFormat="false" ht="14.25" hidden="false" customHeight="false" outlineLevel="0" collapsed="false">
      <c r="B94" s="142"/>
      <c r="C94" s="147"/>
      <c r="D94" s="148" t="s">
        <v>207</v>
      </c>
      <c r="E94" s="119" t="s">
        <v>23</v>
      </c>
      <c r="F94" s="119" t="s">
        <v>23</v>
      </c>
      <c r="G94" s="116" t="s">
        <v>27</v>
      </c>
      <c r="H94" s="118" t="s">
        <v>26</v>
      </c>
      <c r="I94" s="119" t="s">
        <v>23</v>
      </c>
      <c r="J94" s="120" t="s">
        <v>205</v>
      </c>
      <c r="K94" s="85"/>
      <c r="L94" s="116"/>
      <c r="M94" s="116"/>
      <c r="N94" s="116"/>
      <c r="O94" s="85"/>
      <c r="P94" s="116"/>
      <c r="Q94" s="116"/>
    </row>
    <row r="95" customFormat="false" ht="14.25" hidden="false" customHeight="true" outlineLevel="0" collapsed="false">
      <c r="B95" s="142"/>
      <c r="C95" s="147" t="s">
        <v>208</v>
      </c>
      <c r="D95" s="33" t="s">
        <v>209</v>
      </c>
      <c r="E95" s="36" t="s">
        <v>23</v>
      </c>
      <c r="F95" s="36" t="s">
        <v>23</v>
      </c>
      <c r="G95" s="34" t="s">
        <v>27</v>
      </c>
      <c r="H95" s="114" t="s">
        <v>26</v>
      </c>
      <c r="I95" s="36" t="s">
        <v>23</v>
      </c>
      <c r="J95" s="37" t="s">
        <v>196</v>
      </c>
      <c r="K95" s="34" t="s">
        <v>23</v>
      </c>
      <c r="L95" s="34" t="s">
        <v>23</v>
      </c>
      <c r="M95" s="34" t="s">
        <v>26</v>
      </c>
      <c r="N95" s="34" t="s">
        <v>26</v>
      </c>
      <c r="O95" s="34" t="s">
        <v>23</v>
      </c>
      <c r="P95" s="34" t="s">
        <v>23</v>
      </c>
      <c r="Q95" s="34" t="s">
        <v>23</v>
      </c>
    </row>
    <row r="96" customFormat="false" ht="14.25" hidden="false" customHeight="false" outlineLevel="0" collapsed="false">
      <c r="B96" s="142"/>
      <c r="C96" s="147"/>
      <c r="D96" s="20" t="s">
        <v>197</v>
      </c>
      <c r="E96" s="21" t="s">
        <v>23</v>
      </c>
      <c r="F96" s="21" t="s">
        <v>23</v>
      </c>
      <c r="G96" s="23" t="s">
        <v>27</v>
      </c>
      <c r="H96" s="24" t="s">
        <v>26</v>
      </c>
      <c r="I96" s="21" t="s">
        <v>23</v>
      </c>
      <c r="J96" s="25" t="s">
        <v>198</v>
      </c>
      <c r="K96" s="128"/>
      <c r="L96" s="128"/>
      <c r="M96" s="128"/>
      <c r="N96" s="128"/>
      <c r="O96" s="128"/>
      <c r="P96" s="128"/>
      <c r="Q96" s="128"/>
    </row>
    <row r="97" customFormat="false" ht="14.25" hidden="false" customHeight="false" outlineLevel="0" collapsed="false">
      <c r="B97" s="142"/>
      <c r="C97" s="147"/>
      <c r="D97" s="108" t="s">
        <v>199</v>
      </c>
      <c r="E97" s="21" t="s">
        <v>23</v>
      </c>
      <c r="F97" s="21" t="s">
        <v>23</v>
      </c>
      <c r="G97" s="23" t="s">
        <v>27</v>
      </c>
      <c r="H97" s="24" t="s">
        <v>26</v>
      </c>
      <c r="I97" s="21" t="s">
        <v>23</v>
      </c>
      <c r="J97" s="25" t="s">
        <v>198</v>
      </c>
      <c r="K97" s="23" t="s">
        <v>23</v>
      </c>
      <c r="L97" s="23" t="s">
        <v>26</v>
      </c>
      <c r="M97" s="23" t="s">
        <v>26</v>
      </c>
      <c r="N97" s="23" t="s">
        <v>26</v>
      </c>
      <c r="O97" s="23" t="s">
        <v>23</v>
      </c>
      <c r="P97" s="23" t="s">
        <v>26</v>
      </c>
      <c r="Q97" s="23" t="s">
        <v>26</v>
      </c>
    </row>
    <row r="98" customFormat="false" ht="14.25" hidden="false" customHeight="false" outlineLevel="0" collapsed="false">
      <c r="B98" s="142"/>
      <c r="C98" s="147"/>
      <c r="D98" s="108" t="s">
        <v>201</v>
      </c>
      <c r="E98" s="21" t="s">
        <v>23</v>
      </c>
      <c r="F98" s="21" t="s">
        <v>23</v>
      </c>
      <c r="G98" s="23" t="s">
        <v>27</v>
      </c>
      <c r="H98" s="24" t="s">
        <v>26</v>
      </c>
      <c r="I98" s="21" t="s">
        <v>23</v>
      </c>
      <c r="J98" s="25" t="s">
        <v>198</v>
      </c>
      <c r="K98" s="23" t="s">
        <v>26</v>
      </c>
      <c r="L98" s="23" t="s">
        <v>26</v>
      </c>
      <c r="M98" s="23" t="s">
        <v>26</v>
      </c>
      <c r="N98" s="23" t="s">
        <v>23</v>
      </c>
      <c r="O98" s="23" t="s">
        <v>26</v>
      </c>
      <c r="P98" s="23" t="s">
        <v>23</v>
      </c>
      <c r="Q98" s="23" t="s">
        <v>23</v>
      </c>
    </row>
    <row r="99" customFormat="false" ht="14.25" hidden="false" customHeight="false" outlineLevel="0" collapsed="false">
      <c r="B99" s="142"/>
      <c r="C99" s="147"/>
      <c r="D99" s="108" t="s">
        <v>210</v>
      </c>
      <c r="E99" s="21" t="s">
        <v>23</v>
      </c>
      <c r="F99" s="21" t="s">
        <v>23</v>
      </c>
      <c r="G99" s="23" t="s">
        <v>27</v>
      </c>
      <c r="H99" s="24" t="s">
        <v>26</v>
      </c>
      <c r="I99" s="21" t="s">
        <v>23</v>
      </c>
      <c r="J99" s="25" t="s">
        <v>198</v>
      </c>
      <c r="K99" s="23" t="s">
        <v>23</v>
      </c>
      <c r="L99" s="23" t="s">
        <v>23</v>
      </c>
      <c r="M99" s="23" t="s">
        <v>23</v>
      </c>
      <c r="N99" s="23" t="s">
        <v>23</v>
      </c>
      <c r="O99" s="23" t="s">
        <v>23</v>
      </c>
      <c r="P99" s="23" t="s">
        <v>23</v>
      </c>
      <c r="Q99" s="23" t="s">
        <v>23</v>
      </c>
    </row>
    <row r="100" customFormat="false" ht="14.25" hidden="false" customHeight="false" outlineLevel="0" collapsed="false">
      <c r="B100" s="142"/>
      <c r="C100" s="147"/>
      <c r="D100" s="108" t="s">
        <v>203</v>
      </c>
      <c r="E100" s="21" t="s">
        <v>23</v>
      </c>
      <c r="F100" s="21" t="s">
        <v>23</v>
      </c>
      <c r="G100" s="23" t="s">
        <v>27</v>
      </c>
      <c r="H100" s="24" t="s">
        <v>26</v>
      </c>
      <c r="I100" s="21" t="s">
        <v>23</v>
      </c>
      <c r="J100" s="25" t="s">
        <v>198</v>
      </c>
      <c r="K100" s="23" t="s">
        <v>23</v>
      </c>
      <c r="L100" s="23" t="s">
        <v>23</v>
      </c>
      <c r="M100" s="23" t="s">
        <v>23</v>
      </c>
      <c r="N100" s="23" t="s">
        <v>23</v>
      </c>
      <c r="O100" s="23" t="s">
        <v>23</v>
      </c>
      <c r="P100" s="23" t="s">
        <v>23</v>
      </c>
      <c r="Q100" s="23" t="s">
        <v>23</v>
      </c>
    </row>
    <row r="101" customFormat="false" ht="14.25" hidden="false" customHeight="false" outlineLevel="0" collapsed="false">
      <c r="B101" s="142"/>
      <c r="C101" s="147"/>
      <c r="D101" s="20" t="s">
        <v>204</v>
      </c>
      <c r="E101" s="21" t="s">
        <v>23</v>
      </c>
      <c r="F101" s="21" t="s">
        <v>23</v>
      </c>
      <c r="G101" s="23" t="s">
        <v>27</v>
      </c>
      <c r="H101" s="24" t="s">
        <v>26</v>
      </c>
      <c r="I101" s="21" t="s">
        <v>23</v>
      </c>
      <c r="J101" s="25" t="s">
        <v>205</v>
      </c>
      <c r="K101" s="128"/>
      <c r="L101" s="128"/>
      <c r="M101" s="128"/>
      <c r="N101" s="128"/>
      <c r="O101" s="128"/>
      <c r="P101" s="128"/>
      <c r="Q101" s="128"/>
    </row>
    <row r="102" customFormat="false" ht="14.25" hidden="false" customHeight="false" outlineLevel="0" collapsed="false">
      <c r="B102" s="142"/>
      <c r="C102" s="147"/>
      <c r="D102" s="108" t="s">
        <v>206</v>
      </c>
      <c r="E102" s="21" t="s">
        <v>23</v>
      </c>
      <c r="F102" s="21" t="s">
        <v>23</v>
      </c>
      <c r="G102" s="23" t="s">
        <v>27</v>
      </c>
      <c r="H102" s="24" t="s">
        <v>26</v>
      </c>
      <c r="I102" s="21" t="s">
        <v>23</v>
      </c>
      <c r="J102" s="25" t="s">
        <v>205</v>
      </c>
      <c r="K102" s="76"/>
      <c r="L102" s="23" t="s">
        <v>162</v>
      </c>
      <c r="M102" s="23" t="s">
        <v>162</v>
      </c>
      <c r="N102" s="23" t="s">
        <v>162</v>
      </c>
      <c r="O102" s="76"/>
      <c r="P102" s="23" t="s">
        <v>162</v>
      </c>
      <c r="Q102" s="23" t="s">
        <v>162</v>
      </c>
    </row>
    <row r="103" customFormat="false" ht="14.25" hidden="false" customHeight="false" outlineLevel="0" collapsed="false">
      <c r="B103" s="142"/>
      <c r="C103" s="147"/>
      <c r="D103" s="148" t="s">
        <v>207</v>
      </c>
      <c r="E103" s="119" t="s">
        <v>23</v>
      </c>
      <c r="F103" s="119" t="s">
        <v>23</v>
      </c>
      <c r="G103" s="116" t="s">
        <v>27</v>
      </c>
      <c r="H103" s="118" t="s">
        <v>26</v>
      </c>
      <c r="I103" s="119" t="s">
        <v>23</v>
      </c>
      <c r="J103" s="120" t="s">
        <v>205</v>
      </c>
      <c r="K103" s="85"/>
      <c r="L103" s="116"/>
      <c r="M103" s="116"/>
      <c r="N103" s="116"/>
      <c r="O103" s="85"/>
      <c r="P103" s="116"/>
      <c r="Q103" s="116"/>
    </row>
    <row r="104" customFormat="false" ht="14.25" hidden="false" customHeight="false" outlineLevel="0" collapsed="false">
      <c r="B104" s="142"/>
      <c r="C104" s="112" t="s">
        <v>191</v>
      </c>
      <c r="D104" s="33" t="s">
        <v>211</v>
      </c>
      <c r="E104" s="36" t="s">
        <v>23</v>
      </c>
      <c r="F104" s="36" t="s">
        <v>23</v>
      </c>
      <c r="G104" s="34" t="s">
        <v>27</v>
      </c>
      <c r="H104" s="114" t="s">
        <v>26</v>
      </c>
      <c r="I104" s="114" t="s">
        <v>26</v>
      </c>
      <c r="J104" s="138" t="s">
        <v>212</v>
      </c>
      <c r="K104" s="34" t="s">
        <v>81</v>
      </c>
      <c r="L104" s="34" t="s">
        <v>81</v>
      </c>
      <c r="M104" s="34" t="s">
        <v>81</v>
      </c>
      <c r="N104" s="34" t="s">
        <v>81</v>
      </c>
      <c r="O104" s="34" t="s">
        <v>81</v>
      </c>
      <c r="P104" s="34" t="s">
        <v>81</v>
      </c>
      <c r="Q104" s="34" t="s">
        <v>81</v>
      </c>
    </row>
    <row r="105" customFormat="false" ht="14.25" hidden="false" customHeight="false" outlineLevel="0" collapsed="false">
      <c r="B105" s="142"/>
      <c r="C105" s="112"/>
      <c r="D105" s="108" t="s">
        <v>213</v>
      </c>
      <c r="E105" s="21" t="s">
        <v>23</v>
      </c>
      <c r="F105" s="21" t="s">
        <v>23</v>
      </c>
      <c r="G105" s="23" t="s">
        <v>27</v>
      </c>
      <c r="H105" s="24" t="s">
        <v>26</v>
      </c>
      <c r="I105" s="24" t="s">
        <v>26</v>
      </c>
      <c r="J105" s="57" t="s">
        <v>214</v>
      </c>
      <c r="K105" s="23" t="n">
        <v>3</v>
      </c>
      <c r="L105" s="23" t="n">
        <v>2</v>
      </c>
      <c r="M105" s="23"/>
      <c r="N105" s="23"/>
      <c r="O105" s="23"/>
      <c r="P105" s="23"/>
      <c r="Q105" s="23"/>
    </row>
    <row r="106" customFormat="false" ht="14.25" hidden="false" customHeight="false" outlineLevel="0" collapsed="false">
      <c r="B106" s="142"/>
      <c r="C106" s="112"/>
      <c r="D106" s="148" t="s">
        <v>215</v>
      </c>
      <c r="E106" s="119" t="s">
        <v>23</v>
      </c>
      <c r="F106" s="119" t="s">
        <v>23</v>
      </c>
      <c r="G106" s="116" t="s">
        <v>27</v>
      </c>
      <c r="H106" s="118" t="s">
        <v>26</v>
      </c>
      <c r="I106" s="118" t="s">
        <v>26</v>
      </c>
      <c r="J106" s="120" t="s">
        <v>82</v>
      </c>
      <c r="K106" s="116" t="n">
        <v>6</v>
      </c>
      <c r="L106" s="116" t="n">
        <v>2</v>
      </c>
      <c r="M106" s="116"/>
      <c r="N106" s="116"/>
      <c r="O106" s="116"/>
      <c r="P106" s="116"/>
      <c r="Q106" s="116"/>
    </row>
    <row r="107" customFormat="false" ht="14.25" hidden="false" customHeight="false" outlineLevel="0" collapsed="false">
      <c r="B107" s="142"/>
      <c r="C107" s="112" t="s">
        <v>216</v>
      </c>
      <c r="D107" s="33" t="s">
        <v>217</v>
      </c>
      <c r="E107" s="36" t="s">
        <v>23</v>
      </c>
      <c r="F107" s="36" t="s">
        <v>23</v>
      </c>
      <c r="G107" s="34" t="s">
        <v>27</v>
      </c>
      <c r="H107" s="114" t="s">
        <v>26</v>
      </c>
      <c r="I107" s="149" t="s">
        <v>27</v>
      </c>
      <c r="J107" s="37" t="s">
        <v>82</v>
      </c>
      <c r="K107" s="34"/>
      <c r="L107" s="34"/>
      <c r="M107" s="34"/>
      <c r="N107" s="34"/>
      <c r="O107" s="34"/>
      <c r="P107" s="34"/>
      <c r="Q107" s="34"/>
    </row>
    <row r="108" customFormat="false" ht="14.25" hidden="false" customHeight="false" outlineLevel="0" collapsed="false">
      <c r="B108" s="142"/>
      <c r="C108" s="112"/>
      <c r="D108" s="20" t="s">
        <v>218</v>
      </c>
      <c r="E108" s="21" t="s">
        <v>23</v>
      </c>
      <c r="F108" s="21" t="s">
        <v>23</v>
      </c>
      <c r="G108" s="23" t="s">
        <v>27</v>
      </c>
      <c r="H108" s="24" t="s">
        <v>26</v>
      </c>
      <c r="I108" s="150" t="s">
        <v>27</v>
      </c>
      <c r="J108" s="25" t="s">
        <v>82</v>
      </c>
      <c r="K108" s="23"/>
      <c r="L108" s="23"/>
      <c r="M108" s="23"/>
      <c r="N108" s="23"/>
      <c r="O108" s="23"/>
      <c r="P108" s="23"/>
      <c r="Q108" s="23"/>
    </row>
    <row r="109" customFormat="false" ht="14.25" hidden="false" customHeight="false" outlineLevel="0" collapsed="false">
      <c r="B109" s="142"/>
      <c r="C109" s="112"/>
      <c r="D109" s="20" t="s">
        <v>219</v>
      </c>
      <c r="E109" s="21" t="s">
        <v>23</v>
      </c>
      <c r="F109" s="21" t="s">
        <v>23</v>
      </c>
      <c r="G109" s="23" t="s">
        <v>27</v>
      </c>
      <c r="H109" s="24" t="s">
        <v>26</v>
      </c>
      <c r="I109" s="150" t="s">
        <v>27</v>
      </c>
      <c r="J109" s="25" t="s">
        <v>82</v>
      </c>
      <c r="K109" s="23"/>
      <c r="L109" s="23"/>
      <c r="M109" s="23"/>
      <c r="N109" s="23"/>
      <c r="O109" s="23"/>
      <c r="P109" s="23"/>
      <c r="Q109" s="23"/>
    </row>
    <row r="110" customFormat="false" ht="14.25" hidden="false" customHeight="false" outlineLevel="0" collapsed="false">
      <c r="B110" s="142"/>
      <c r="C110" s="112"/>
      <c r="D110" s="115" t="s">
        <v>220</v>
      </c>
      <c r="E110" s="119" t="s">
        <v>23</v>
      </c>
      <c r="F110" s="119" t="s">
        <v>23</v>
      </c>
      <c r="G110" s="116" t="s">
        <v>27</v>
      </c>
      <c r="H110" s="118" t="s">
        <v>26</v>
      </c>
      <c r="I110" s="151" t="s">
        <v>27</v>
      </c>
      <c r="J110" s="120" t="s">
        <v>82</v>
      </c>
      <c r="K110" s="116"/>
      <c r="L110" s="116"/>
      <c r="M110" s="116"/>
      <c r="N110" s="116"/>
      <c r="O110" s="116"/>
      <c r="P110" s="116"/>
      <c r="Q110" s="116"/>
    </row>
    <row r="111" customFormat="false" ht="14.25" hidden="false" customHeight="false" outlineLevel="0" collapsed="false">
      <c r="B111" s="142"/>
      <c r="C111" s="112" t="s">
        <v>221</v>
      </c>
      <c r="D111" s="33" t="s">
        <v>222</v>
      </c>
      <c r="E111" s="36" t="s">
        <v>23</v>
      </c>
      <c r="F111" s="36" t="s">
        <v>23</v>
      </c>
      <c r="G111" s="34" t="s">
        <v>27</v>
      </c>
      <c r="H111" s="114" t="s">
        <v>26</v>
      </c>
      <c r="I111" s="114" t="s">
        <v>26</v>
      </c>
      <c r="J111" s="138" t="s">
        <v>212</v>
      </c>
      <c r="K111" s="34"/>
      <c r="L111" s="34" t="n">
        <v>100</v>
      </c>
      <c r="M111" s="34"/>
      <c r="N111" s="34"/>
      <c r="O111" s="34"/>
      <c r="P111" s="34"/>
      <c r="Q111" s="34"/>
    </row>
    <row r="112" customFormat="false" ht="14.25" hidden="false" customHeight="false" outlineLevel="0" collapsed="false">
      <c r="B112" s="142"/>
      <c r="C112" s="112"/>
      <c r="D112" s="108" t="s">
        <v>213</v>
      </c>
      <c r="E112" s="21" t="s">
        <v>23</v>
      </c>
      <c r="F112" s="21" t="s">
        <v>23</v>
      </c>
      <c r="G112" s="23" t="s">
        <v>27</v>
      </c>
      <c r="H112" s="24" t="s">
        <v>26</v>
      </c>
      <c r="I112" s="24" t="s">
        <v>26</v>
      </c>
      <c r="J112" s="57" t="s">
        <v>214</v>
      </c>
      <c r="K112" s="23"/>
      <c r="L112" s="23" t="n">
        <v>3</v>
      </c>
      <c r="M112" s="23"/>
      <c r="N112" s="23"/>
      <c r="O112" s="23"/>
      <c r="P112" s="23"/>
      <c r="Q112" s="23"/>
    </row>
    <row r="113" customFormat="false" ht="14.25" hidden="false" customHeight="false" outlineLevel="0" collapsed="false">
      <c r="B113" s="142"/>
      <c r="C113" s="112"/>
      <c r="D113" s="148" t="s">
        <v>215</v>
      </c>
      <c r="E113" s="119" t="s">
        <v>23</v>
      </c>
      <c r="F113" s="119" t="s">
        <v>23</v>
      </c>
      <c r="G113" s="116" t="s">
        <v>27</v>
      </c>
      <c r="H113" s="118" t="s">
        <v>26</v>
      </c>
      <c r="I113" s="118" t="s">
        <v>26</v>
      </c>
      <c r="J113" s="120" t="s">
        <v>82</v>
      </c>
      <c r="K113" s="116"/>
      <c r="L113" s="116" t="n">
        <v>3</v>
      </c>
      <c r="M113" s="116"/>
      <c r="N113" s="116"/>
      <c r="O113" s="116"/>
      <c r="P113" s="116"/>
      <c r="Q113" s="116"/>
    </row>
    <row r="114" customFormat="false" ht="14.25" hidden="false" customHeight="false" outlineLevel="0" collapsed="false">
      <c r="B114" s="142"/>
      <c r="C114" s="121" t="s">
        <v>216</v>
      </c>
      <c r="D114" s="100" t="s">
        <v>217</v>
      </c>
      <c r="E114" s="104" t="s">
        <v>23</v>
      </c>
      <c r="F114" s="104" t="s">
        <v>23</v>
      </c>
      <c r="G114" s="103" t="s">
        <v>27</v>
      </c>
      <c r="H114" s="101" t="s">
        <v>26</v>
      </c>
      <c r="I114" s="152" t="s">
        <v>27</v>
      </c>
      <c r="J114" s="105" t="s">
        <v>82</v>
      </c>
      <c r="K114" s="103"/>
      <c r="L114" s="103" t="s">
        <v>26</v>
      </c>
      <c r="M114" s="103"/>
      <c r="N114" s="103"/>
      <c r="O114" s="103"/>
      <c r="P114" s="103"/>
      <c r="Q114" s="103"/>
    </row>
    <row r="115" customFormat="false" ht="14.25" hidden="false" customHeight="false" outlineLevel="0" collapsed="false">
      <c r="B115" s="142"/>
      <c r="C115" s="121"/>
      <c r="D115" s="20" t="s">
        <v>218</v>
      </c>
      <c r="E115" s="21" t="s">
        <v>23</v>
      </c>
      <c r="F115" s="21" t="s">
        <v>23</v>
      </c>
      <c r="G115" s="23" t="s">
        <v>27</v>
      </c>
      <c r="H115" s="24" t="s">
        <v>26</v>
      </c>
      <c r="I115" s="150" t="s">
        <v>27</v>
      </c>
      <c r="J115" s="25" t="s">
        <v>82</v>
      </c>
      <c r="K115" s="23"/>
      <c r="L115" s="23" t="s">
        <v>26</v>
      </c>
      <c r="M115" s="23"/>
      <c r="N115" s="23"/>
      <c r="O115" s="23"/>
      <c r="P115" s="23"/>
      <c r="Q115" s="23"/>
    </row>
    <row r="116" customFormat="false" ht="14.25" hidden="false" customHeight="false" outlineLevel="0" collapsed="false">
      <c r="B116" s="142"/>
      <c r="C116" s="121"/>
      <c r="D116" s="20" t="s">
        <v>219</v>
      </c>
      <c r="E116" s="21" t="s">
        <v>23</v>
      </c>
      <c r="F116" s="21" t="s">
        <v>23</v>
      </c>
      <c r="G116" s="23" t="s">
        <v>27</v>
      </c>
      <c r="H116" s="24" t="s">
        <v>26</v>
      </c>
      <c r="I116" s="150" t="s">
        <v>27</v>
      </c>
      <c r="J116" s="25" t="s">
        <v>82</v>
      </c>
      <c r="K116" s="23"/>
      <c r="L116" s="23" t="s">
        <v>26</v>
      </c>
      <c r="M116" s="23"/>
      <c r="N116" s="23"/>
      <c r="O116" s="23"/>
      <c r="P116" s="23"/>
      <c r="Q116" s="23"/>
    </row>
    <row r="117" customFormat="false" ht="14.25" hidden="false" customHeight="false" outlineLevel="0" collapsed="false">
      <c r="B117" s="142"/>
      <c r="C117" s="121"/>
      <c r="D117" s="40" t="s">
        <v>220</v>
      </c>
      <c r="E117" s="43" t="s">
        <v>23</v>
      </c>
      <c r="F117" s="43" t="s">
        <v>23</v>
      </c>
      <c r="G117" s="41" t="s">
        <v>27</v>
      </c>
      <c r="H117" s="123" t="s">
        <v>26</v>
      </c>
      <c r="I117" s="153" t="s">
        <v>27</v>
      </c>
      <c r="J117" s="44" t="s">
        <v>82</v>
      </c>
      <c r="K117" s="41"/>
      <c r="L117" s="41" t="s">
        <v>26</v>
      </c>
      <c r="M117" s="41"/>
      <c r="N117" s="41"/>
      <c r="O117" s="41"/>
      <c r="P117" s="41"/>
      <c r="Q117" s="41"/>
    </row>
    <row r="118" customFormat="false" ht="16.4" hidden="false" customHeight="true" outlineLevel="0" collapsed="false">
      <c r="B118" s="154" t="s">
        <v>223</v>
      </c>
      <c r="C118" s="155" t="s">
        <v>224</v>
      </c>
      <c r="D118" s="88" t="s">
        <v>78</v>
      </c>
      <c r="E118" s="89" t="s">
        <v>26</v>
      </c>
      <c r="F118" s="156" t="s">
        <v>24</v>
      </c>
      <c r="G118" s="90" t="s">
        <v>25</v>
      </c>
      <c r="H118" s="89" t="s">
        <v>26</v>
      </c>
      <c r="I118" s="89" t="s">
        <v>26</v>
      </c>
      <c r="J118" s="122" t="s">
        <v>113</v>
      </c>
      <c r="K118" s="90" t="n">
        <v>129</v>
      </c>
      <c r="L118" s="90" t="n">
        <v>97</v>
      </c>
      <c r="M118" s="90" t="n">
        <v>309</v>
      </c>
      <c r="N118" s="90" t="n">
        <v>572</v>
      </c>
      <c r="O118" s="90" t="n">
        <v>764</v>
      </c>
      <c r="P118" s="90" t="n">
        <v>305</v>
      </c>
      <c r="Q118" s="90" t="n">
        <v>191</v>
      </c>
    </row>
    <row r="119" customFormat="false" ht="14.25" hidden="false" customHeight="false" outlineLevel="0" collapsed="false">
      <c r="B119" s="154"/>
      <c r="C119" s="154"/>
      <c r="D119" s="53" t="s">
        <v>225</v>
      </c>
      <c r="E119" s="54" t="s">
        <v>26</v>
      </c>
      <c r="F119" s="58" t="s">
        <v>80</v>
      </c>
      <c r="G119" s="56" t="s">
        <v>102</v>
      </c>
      <c r="H119" s="54" t="s">
        <v>26</v>
      </c>
      <c r="I119" s="75" t="s">
        <v>23</v>
      </c>
      <c r="J119" s="157" t="s">
        <v>226</v>
      </c>
      <c r="K119" s="56"/>
      <c r="L119" s="56" t="s">
        <v>227</v>
      </c>
      <c r="M119" s="56" t="s">
        <v>228</v>
      </c>
      <c r="N119" s="56"/>
      <c r="O119" s="56"/>
      <c r="P119" s="56"/>
      <c r="Q119" s="56"/>
    </row>
    <row r="120" customFormat="false" ht="14.25" hidden="false" customHeight="false" outlineLevel="0" collapsed="false">
      <c r="B120" s="154"/>
      <c r="C120" s="154"/>
      <c r="D120" s="53" t="s">
        <v>229</v>
      </c>
      <c r="E120" s="54" t="s">
        <v>26</v>
      </c>
      <c r="F120" s="58" t="s">
        <v>80</v>
      </c>
      <c r="G120" s="56" t="s">
        <v>102</v>
      </c>
      <c r="H120" s="54" t="s">
        <v>26</v>
      </c>
      <c r="I120" s="54" t="s">
        <v>26</v>
      </c>
      <c r="J120" s="57" t="s">
        <v>113</v>
      </c>
      <c r="K120" s="56"/>
      <c r="L120" s="77" t="n">
        <v>0.7</v>
      </c>
      <c r="M120" s="77" t="n">
        <v>0.95</v>
      </c>
      <c r="N120" s="56"/>
      <c r="O120" s="56"/>
      <c r="P120" s="56"/>
      <c r="Q120" s="56"/>
    </row>
    <row r="121" customFormat="false" ht="14.25" hidden="false" customHeight="false" outlineLevel="0" collapsed="false">
      <c r="B121" s="154"/>
      <c r="C121" s="155"/>
      <c r="D121" s="61" t="s">
        <v>230</v>
      </c>
      <c r="E121" s="131" t="s">
        <v>23</v>
      </c>
      <c r="F121" s="131" t="s">
        <v>23</v>
      </c>
      <c r="G121" s="64" t="s">
        <v>27</v>
      </c>
      <c r="H121" s="62" t="s">
        <v>26</v>
      </c>
      <c r="I121" s="62" t="s">
        <v>26</v>
      </c>
      <c r="J121" s="158" t="s">
        <v>214</v>
      </c>
      <c r="K121" s="64" t="n">
        <v>6</v>
      </c>
      <c r="L121" s="64" t="n">
        <v>2</v>
      </c>
      <c r="M121" s="64" t="n">
        <v>5</v>
      </c>
      <c r="N121" s="64" t="n">
        <v>8</v>
      </c>
      <c r="O121" s="64" t="n">
        <v>7</v>
      </c>
      <c r="P121" s="64" t="n">
        <v>6</v>
      </c>
      <c r="Q121" s="64" t="n">
        <v>6</v>
      </c>
    </row>
    <row r="122" customFormat="false" ht="14.25" hidden="false" customHeight="true" outlineLevel="0" collapsed="false">
      <c r="B122" s="154"/>
      <c r="C122" s="159" t="s">
        <v>231</v>
      </c>
      <c r="D122" s="68" t="s">
        <v>232</v>
      </c>
      <c r="E122" s="72" t="s">
        <v>233</v>
      </c>
      <c r="F122" s="72" t="s">
        <v>23</v>
      </c>
      <c r="G122" s="71" t="s">
        <v>27</v>
      </c>
      <c r="H122" s="69" t="s">
        <v>26</v>
      </c>
      <c r="I122" s="69" t="s">
        <v>26</v>
      </c>
      <c r="J122" s="138" t="s">
        <v>234</v>
      </c>
      <c r="K122" s="160" t="n">
        <f aca="false">SUM(K123:K129)</f>
        <v>0.65</v>
      </c>
      <c r="L122" s="160" t="n">
        <f aca="false">SUM(L123:L129)</f>
        <v>1</v>
      </c>
      <c r="M122" s="160" t="n">
        <f aca="false">SUM(M123:M129)</f>
        <v>0</v>
      </c>
      <c r="N122" s="160" t="n">
        <f aca="false">SUM(N123:N129)</f>
        <v>0.33</v>
      </c>
      <c r="O122" s="160" t="n">
        <f aca="false">SUM(O123:O129)</f>
        <v>0.81</v>
      </c>
      <c r="P122" s="160" t="n">
        <f aca="false">SUM(P123:P129)</f>
        <v>0.93</v>
      </c>
      <c r="Q122" s="160" t="n">
        <f aca="false">SUM(Q123:Q129)</f>
        <v>0.99</v>
      </c>
    </row>
    <row r="123" customFormat="false" ht="14.25" hidden="false" customHeight="false" outlineLevel="0" collapsed="false">
      <c r="B123" s="154"/>
      <c r="C123" s="154"/>
      <c r="D123" s="78" t="s">
        <v>174</v>
      </c>
      <c r="E123" s="75" t="s">
        <v>233</v>
      </c>
      <c r="F123" s="75" t="s">
        <v>23</v>
      </c>
      <c r="G123" s="56" t="s">
        <v>27</v>
      </c>
      <c r="H123" s="54" t="s">
        <v>26</v>
      </c>
      <c r="I123" s="54" t="s">
        <v>26</v>
      </c>
      <c r="J123" s="57" t="s">
        <v>175</v>
      </c>
      <c r="K123" s="77" t="n">
        <v>0.58</v>
      </c>
      <c r="L123" s="77" t="n">
        <v>0.63</v>
      </c>
      <c r="M123" s="77"/>
      <c r="N123" s="77" t="n">
        <v>0.07</v>
      </c>
      <c r="O123" s="77" t="n">
        <v>0.4</v>
      </c>
      <c r="P123" s="77" t="n">
        <v>0.5</v>
      </c>
      <c r="Q123" s="77" t="n">
        <v>0.46</v>
      </c>
    </row>
    <row r="124" customFormat="false" ht="14.25" hidden="false" customHeight="false" outlineLevel="0" collapsed="false">
      <c r="B124" s="154"/>
      <c r="C124" s="154"/>
      <c r="D124" s="78" t="s">
        <v>176</v>
      </c>
      <c r="E124" s="75" t="s">
        <v>233</v>
      </c>
      <c r="F124" s="75" t="s">
        <v>23</v>
      </c>
      <c r="G124" s="56" t="s">
        <v>27</v>
      </c>
      <c r="H124" s="54" t="s">
        <v>26</v>
      </c>
      <c r="I124" s="54" t="s">
        <v>26</v>
      </c>
      <c r="J124" s="57" t="s">
        <v>175</v>
      </c>
      <c r="K124" s="77" t="n">
        <v>0</v>
      </c>
      <c r="L124" s="77" t="n">
        <v>0</v>
      </c>
      <c r="M124" s="77"/>
      <c r="N124" s="77" t="n">
        <v>0.01</v>
      </c>
      <c r="O124" s="77" t="n">
        <v>0</v>
      </c>
      <c r="P124" s="77" t="n">
        <v>0.29</v>
      </c>
      <c r="Q124" s="77" t="n">
        <v>0.13</v>
      </c>
    </row>
    <row r="125" customFormat="false" ht="14.25" hidden="false" customHeight="false" outlineLevel="0" collapsed="false">
      <c r="B125" s="154"/>
      <c r="C125" s="154"/>
      <c r="D125" s="78" t="s">
        <v>177</v>
      </c>
      <c r="E125" s="75" t="s">
        <v>233</v>
      </c>
      <c r="F125" s="75" t="s">
        <v>23</v>
      </c>
      <c r="G125" s="56" t="s">
        <v>27</v>
      </c>
      <c r="H125" s="54" t="s">
        <v>26</v>
      </c>
      <c r="I125" s="54" t="s">
        <v>26</v>
      </c>
      <c r="J125" s="57" t="s">
        <v>175</v>
      </c>
      <c r="K125" s="77" t="n">
        <v>0.04</v>
      </c>
      <c r="L125" s="77" t="n">
        <v>0.06</v>
      </c>
      <c r="M125" s="77"/>
      <c r="N125" s="77" t="n">
        <v>0.05</v>
      </c>
      <c r="O125" s="77" t="n">
        <v>0.05</v>
      </c>
      <c r="P125" s="77" t="n">
        <v>0.07</v>
      </c>
      <c r="Q125" s="77" t="n">
        <v>0.08</v>
      </c>
    </row>
    <row r="126" customFormat="false" ht="14.25" hidden="false" customHeight="false" outlineLevel="0" collapsed="false">
      <c r="B126" s="154"/>
      <c r="C126" s="154"/>
      <c r="D126" s="78" t="s">
        <v>178</v>
      </c>
      <c r="E126" s="75" t="s">
        <v>233</v>
      </c>
      <c r="F126" s="75" t="s">
        <v>23</v>
      </c>
      <c r="G126" s="56" t="s">
        <v>27</v>
      </c>
      <c r="H126" s="54" t="s">
        <v>26</v>
      </c>
      <c r="I126" s="54" t="s">
        <v>26</v>
      </c>
      <c r="J126" s="57" t="s">
        <v>175</v>
      </c>
      <c r="K126" s="77" t="n">
        <v>0.02</v>
      </c>
      <c r="L126" s="77" t="n">
        <v>0.08</v>
      </c>
      <c r="M126" s="77"/>
      <c r="N126" s="77" t="n">
        <v>0.01</v>
      </c>
      <c r="O126" s="77" t="n">
        <v>0.22</v>
      </c>
      <c r="P126" s="77" t="n">
        <v>0</v>
      </c>
      <c r="Q126" s="77" t="n">
        <v>0.15</v>
      </c>
    </row>
    <row r="127" customFormat="false" ht="14.25" hidden="false" customHeight="false" outlineLevel="0" collapsed="false">
      <c r="B127" s="154"/>
      <c r="C127" s="154"/>
      <c r="D127" s="78" t="s">
        <v>179</v>
      </c>
      <c r="E127" s="75" t="s">
        <v>233</v>
      </c>
      <c r="F127" s="75" t="s">
        <v>23</v>
      </c>
      <c r="G127" s="56" t="s">
        <v>27</v>
      </c>
      <c r="H127" s="54" t="s">
        <v>26</v>
      </c>
      <c r="I127" s="54" t="s">
        <v>26</v>
      </c>
      <c r="J127" s="57" t="s">
        <v>175</v>
      </c>
      <c r="K127" s="77" t="n">
        <v>0.01</v>
      </c>
      <c r="L127" s="77" t="n">
        <v>0.22</v>
      </c>
      <c r="M127" s="77"/>
      <c r="N127" s="77" t="n">
        <v>0.17</v>
      </c>
      <c r="O127" s="77" t="n">
        <v>0.12</v>
      </c>
      <c r="P127" s="77" t="n">
        <v>0.07</v>
      </c>
      <c r="Q127" s="77" t="n">
        <v>0.14</v>
      </c>
    </row>
    <row r="128" customFormat="false" ht="14.25" hidden="false" customHeight="false" outlineLevel="0" collapsed="false">
      <c r="B128" s="154"/>
      <c r="C128" s="154"/>
      <c r="D128" s="78" t="s">
        <v>180</v>
      </c>
      <c r="E128" s="75" t="s">
        <v>233</v>
      </c>
      <c r="F128" s="75" t="s">
        <v>23</v>
      </c>
      <c r="G128" s="56" t="s">
        <v>27</v>
      </c>
      <c r="H128" s="54" t="s">
        <v>26</v>
      </c>
      <c r="I128" s="54" t="s">
        <v>26</v>
      </c>
      <c r="J128" s="57" t="s">
        <v>175</v>
      </c>
      <c r="K128" s="77" t="n">
        <v>0</v>
      </c>
      <c r="L128" s="77" t="n">
        <v>0.01</v>
      </c>
      <c r="M128" s="77"/>
      <c r="N128" s="77" t="n">
        <v>0.02</v>
      </c>
      <c r="O128" s="77" t="n">
        <v>0.02</v>
      </c>
      <c r="P128" s="77" t="n">
        <v>0</v>
      </c>
      <c r="Q128" s="77" t="n">
        <v>0.03</v>
      </c>
    </row>
    <row r="129" customFormat="false" ht="14.25" hidden="false" customHeight="false" outlineLevel="0" collapsed="false">
      <c r="B129" s="154"/>
      <c r="C129" s="154"/>
      <c r="D129" s="78" t="s">
        <v>181</v>
      </c>
      <c r="E129" s="75" t="s">
        <v>233</v>
      </c>
      <c r="F129" s="75" t="s">
        <v>23</v>
      </c>
      <c r="G129" s="56" t="s">
        <v>27</v>
      </c>
      <c r="H129" s="54" t="s">
        <v>26</v>
      </c>
      <c r="I129" s="54" t="s">
        <v>26</v>
      </c>
      <c r="J129" s="57" t="s">
        <v>175</v>
      </c>
      <c r="K129" s="77" t="n">
        <v>0</v>
      </c>
      <c r="L129" s="77" t="n">
        <v>0</v>
      </c>
      <c r="M129" s="77"/>
      <c r="N129" s="77" t="n">
        <v>0</v>
      </c>
      <c r="O129" s="77" t="n">
        <v>0</v>
      </c>
      <c r="P129" s="77" t="n">
        <v>0</v>
      </c>
      <c r="Q129" s="77" t="n">
        <v>0</v>
      </c>
    </row>
    <row r="130" customFormat="false" ht="14.25" hidden="false" customHeight="false" outlineLevel="0" collapsed="false">
      <c r="B130" s="154"/>
      <c r="C130" s="154"/>
      <c r="D130" s="53" t="s">
        <v>235</v>
      </c>
      <c r="E130" s="75" t="s">
        <v>233</v>
      </c>
      <c r="F130" s="75" t="s">
        <v>23</v>
      </c>
      <c r="G130" s="56" t="s">
        <v>27</v>
      </c>
      <c r="H130" s="54" t="s">
        <v>26</v>
      </c>
      <c r="I130" s="54" t="s">
        <v>26</v>
      </c>
      <c r="J130" s="57" t="s">
        <v>234</v>
      </c>
      <c r="K130" s="161" t="n">
        <f aca="false">SUM(K131:K137)</f>
        <v>0.36</v>
      </c>
      <c r="L130" s="161" t="n">
        <f aca="false">SUM(L131:L137)</f>
        <v>0</v>
      </c>
      <c r="M130" s="161" t="n">
        <f aca="false">SUM(M131:M137)</f>
        <v>0</v>
      </c>
      <c r="N130" s="161" t="n">
        <f aca="false">SUM(N131:N137)</f>
        <v>0.68</v>
      </c>
      <c r="O130" s="161" t="n">
        <f aca="false">SUM(O131:O137)</f>
        <v>0.2</v>
      </c>
      <c r="P130" s="161" t="n">
        <f aca="false">SUM(P131:P137)</f>
        <v>0.06</v>
      </c>
      <c r="Q130" s="161" t="n">
        <f aca="false">SUM(Q131:Q137)</f>
        <v>0</v>
      </c>
    </row>
    <row r="131" customFormat="false" ht="14.25" hidden="false" customHeight="false" outlineLevel="0" collapsed="false">
      <c r="B131" s="154"/>
      <c r="C131" s="154"/>
      <c r="D131" s="78" t="s">
        <v>183</v>
      </c>
      <c r="E131" s="75" t="s">
        <v>233</v>
      </c>
      <c r="F131" s="75" t="s">
        <v>23</v>
      </c>
      <c r="G131" s="56" t="s">
        <v>27</v>
      </c>
      <c r="H131" s="54" t="s">
        <v>26</v>
      </c>
      <c r="I131" s="54" t="s">
        <v>26</v>
      </c>
      <c r="J131" s="57" t="s">
        <v>175</v>
      </c>
      <c r="K131" s="77" t="n">
        <v>0.01</v>
      </c>
      <c r="L131" s="77" t="n">
        <v>0</v>
      </c>
      <c r="M131" s="77"/>
      <c r="N131" s="77" t="n">
        <v>0.11</v>
      </c>
      <c r="O131" s="77" t="n">
        <v>0.13</v>
      </c>
      <c r="P131" s="77" t="n">
        <v>0.02</v>
      </c>
      <c r="Q131" s="77" t="n">
        <v>0</v>
      </c>
    </row>
    <row r="132" customFormat="false" ht="14.25" hidden="false" customHeight="false" outlineLevel="0" collapsed="false">
      <c r="B132" s="154"/>
      <c r="C132" s="154"/>
      <c r="D132" s="78" t="s">
        <v>184</v>
      </c>
      <c r="E132" s="75" t="s">
        <v>233</v>
      </c>
      <c r="F132" s="75" t="s">
        <v>23</v>
      </c>
      <c r="G132" s="56" t="s">
        <v>27</v>
      </c>
      <c r="H132" s="54" t="s">
        <v>26</v>
      </c>
      <c r="I132" s="54" t="s">
        <v>26</v>
      </c>
      <c r="J132" s="57" t="s">
        <v>175</v>
      </c>
      <c r="K132" s="77" t="n">
        <v>0</v>
      </c>
      <c r="L132" s="77" t="n">
        <v>0</v>
      </c>
      <c r="M132" s="77"/>
      <c r="N132" s="77" t="n">
        <v>0</v>
      </c>
      <c r="O132" s="77" t="n">
        <v>0</v>
      </c>
      <c r="P132" s="77" t="n">
        <v>0</v>
      </c>
      <c r="Q132" s="77" t="n">
        <v>0</v>
      </c>
    </row>
    <row r="133" customFormat="false" ht="14.25" hidden="false" customHeight="false" outlineLevel="0" collapsed="false">
      <c r="B133" s="154"/>
      <c r="C133" s="154"/>
      <c r="D133" s="78" t="s">
        <v>185</v>
      </c>
      <c r="E133" s="75" t="s">
        <v>233</v>
      </c>
      <c r="F133" s="75" t="s">
        <v>23</v>
      </c>
      <c r="G133" s="56" t="s">
        <v>27</v>
      </c>
      <c r="H133" s="54" t="s">
        <v>26</v>
      </c>
      <c r="I133" s="54" t="s">
        <v>26</v>
      </c>
      <c r="J133" s="57" t="s">
        <v>175</v>
      </c>
      <c r="K133" s="77" t="n">
        <v>0.01</v>
      </c>
      <c r="L133" s="77" t="n">
        <v>0</v>
      </c>
      <c r="M133" s="77"/>
      <c r="N133" s="77" t="n">
        <v>0.07</v>
      </c>
      <c r="O133" s="77" t="n">
        <v>0</v>
      </c>
      <c r="P133" s="77" t="n">
        <v>0.02</v>
      </c>
      <c r="Q133" s="77" t="n">
        <v>0</v>
      </c>
    </row>
    <row r="134" customFormat="false" ht="14.25" hidden="false" customHeight="false" outlineLevel="0" collapsed="false">
      <c r="B134" s="154"/>
      <c r="C134" s="154"/>
      <c r="D134" s="78" t="s">
        <v>186</v>
      </c>
      <c r="E134" s="75" t="s">
        <v>233</v>
      </c>
      <c r="F134" s="75" t="s">
        <v>23</v>
      </c>
      <c r="G134" s="56" t="s">
        <v>27</v>
      </c>
      <c r="H134" s="54" t="s">
        <v>26</v>
      </c>
      <c r="I134" s="54" t="s">
        <v>26</v>
      </c>
      <c r="J134" s="57" t="s">
        <v>175</v>
      </c>
      <c r="K134" s="77" t="n">
        <v>0</v>
      </c>
      <c r="L134" s="77" t="n">
        <v>0</v>
      </c>
      <c r="M134" s="77"/>
      <c r="N134" s="77" t="n">
        <v>0.14</v>
      </c>
      <c r="O134" s="77" t="n">
        <v>0</v>
      </c>
      <c r="P134" s="77" t="n">
        <v>0</v>
      </c>
      <c r="Q134" s="77" t="n">
        <v>0</v>
      </c>
    </row>
    <row r="135" customFormat="false" ht="14.25" hidden="false" customHeight="false" outlineLevel="0" collapsed="false">
      <c r="B135" s="154"/>
      <c r="C135" s="154"/>
      <c r="D135" s="78" t="s">
        <v>187</v>
      </c>
      <c r="E135" s="75" t="s">
        <v>233</v>
      </c>
      <c r="F135" s="75" t="s">
        <v>23</v>
      </c>
      <c r="G135" s="56" t="s">
        <v>27</v>
      </c>
      <c r="H135" s="54" t="s">
        <v>26</v>
      </c>
      <c r="I135" s="54" t="s">
        <v>26</v>
      </c>
      <c r="J135" s="57" t="s">
        <v>175</v>
      </c>
      <c r="K135" s="77" t="n">
        <v>0.09</v>
      </c>
      <c r="L135" s="77" t="n">
        <v>0</v>
      </c>
      <c r="M135" s="77"/>
      <c r="N135" s="77" t="n">
        <v>0.12</v>
      </c>
      <c r="O135" s="77" t="n">
        <v>0</v>
      </c>
      <c r="P135" s="77" t="n">
        <v>0</v>
      </c>
      <c r="Q135" s="77" t="n">
        <v>0</v>
      </c>
    </row>
    <row r="136" customFormat="false" ht="14.25" hidden="false" customHeight="false" outlineLevel="0" collapsed="false">
      <c r="B136" s="154"/>
      <c r="C136" s="154"/>
      <c r="D136" s="78" t="s">
        <v>188</v>
      </c>
      <c r="E136" s="75" t="s">
        <v>233</v>
      </c>
      <c r="F136" s="75" t="s">
        <v>23</v>
      </c>
      <c r="G136" s="56" t="s">
        <v>27</v>
      </c>
      <c r="H136" s="54" t="s">
        <v>26</v>
      </c>
      <c r="I136" s="54" t="s">
        <v>26</v>
      </c>
      <c r="J136" s="57" t="s">
        <v>175</v>
      </c>
      <c r="K136" s="77" t="n">
        <v>0.25</v>
      </c>
      <c r="L136" s="77" t="n">
        <v>0</v>
      </c>
      <c r="M136" s="77"/>
      <c r="N136" s="77" t="n">
        <v>0.21</v>
      </c>
      <c r="O136" s="77" t="n">
        <v>0.07</v>
      </c>
      <c r="P136" s="77" t="n">
        <v>0</v>
      </c>
      <c r="Q136" s="77" t="n">
        <v>0</v>
      </c>
    </row>
    <row r="137" customFormat="false" ht="14.25" hidden="false" customHeight="false" outlineLevel="0" collapsed="false">
      <c r="B137" s="154"/>
      <c r="C137" s="154"/>
      <c r="D137" s="78" t="s">
        <v>189</v>
      </c>
      <c r="E137" s="75" t="s">
        <v>233</v>
      </c>
      <c r="F137" s="75" t="s">
        <v>23</v>
      </c>
      <c r="G137" s="56" t="s">
        <v>27</v>
      </c>
      <c r="H137" s="54" t="s">
        <v>26</v>
      </c>
      <c r="I137" s="54" t="s">
        <v>26</v>
      </c>
      <c r="J137" s="57" t="s">
        <v>175</v>
      </c>
      <c r="K137" s="77" t="n">
        <v>0</v>
      </c>
      <c r="L137" s="77" t="n">
        <v>0</v>
      </c>
      <c r="M137" s="77"/>
      <c r="N137" s="77" t="n">
        <v>0.03</v>
      </c>
      <c r="O137" s="77" t="n">
        <v>0</v>
      </c>
      <c r="P137" s="77" t="n">
        <v>0.02</v>
      </c>
      <c r="Q137" s="77" t="n">
        <v>0</v>
      </c>
    </row>
  </sheetData>
  <autoFilter ref="B3:J3"/>
  <mergeCells count="30">
    <mergeCell ref="K2:L2"/>
    <mergeCell ref="N2:O2"/>
    <mergeCell ref="P2:Q2"/>
    <mergeCell ref="B4:B12"/>
    <mergeCell ref="C4:C5"/>
    <mergeCell ref="C6:C12"/>
    <mergeCell ref="B13:B37"/>
    <mergeCell ref="C13:C21"/>
    <mergeCell ref="C22:C29"/>
    <mergeCell ref="C30:C37"/>
    <mergeCell ref="B38:B57"/>
    <mergeCell ref="C38:C47"/>
    <mergeCell ref="C48:C51"/>
    <mergeCell ref="C52:C57"/>
    <mergeCell ref="B58:B83"/>
    <mergeCell ref="C58:C64"/>
    <mergeCell ref="C65:C67"/>
    <mergeCell ref="C68:C69"/>
    <mergeCell ref="C70:C76"/>
    <mergeCell ref="C77:C83"/>
    <mergeCell ref="B84:B117"/>
    <mergeCell ref="C85:C94"/>
    <mergeCell ref="C95:C103"/>
    <mergeCell ref="C104:C106"/>
    <mergeCell ref="C107:C110"/>
    <mergeCell ref="C111:C113"/>
    <mergeCell ref="C114:C117"/>
    <mergeCell ref="B118:B137"/>
    <mergeCell ref="C118:C121"/>
    <mergeCell ref="C122:C137"/>
  </mergeCells>
  <hyperlinks>
    <hyperlink ref="F4" r:id="rId1" display="API Portfolio"/>
    <hyperlink ref="F5" r:id="rId2" display="API Portfolio"/>
    <hyperlink ref="F6" r:id="rId3" display="API Portfolio"/>
    <hyperlink ref="F7" r:id="rId4" display="API Portfolio"/>
    <hyperlink ref="F8" r:id="rId5" display="API Portfolio"/>
    <hyperlink ref="F9" r:id="rId6" display="API Portfolio"/>
    <hyperlink ref="F10" r:id="rId7" display="API Portfolio"/>
    <hyperlink ref="F11" r:id="rId8" display="API Portfolio"/>
    <hyperlink ref="F12" r:id="rId9" display="API Portfolio"/>
    <hyperlink ref="F13" r:id="rId10" display="API Portfolio"/>
    <hyperlink ref="F14" r:id="rId11" display="API Portfolio"/>
    <hyperlink ref="F21" r:id="rId12" display="API Portfolio"/>
    <hyperlink ref="F118" r:id="rId13" display="API Portfoli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:EA9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162" width="8.04"/>
    <col collapsed="false" customWidth="true" hidden="false" outlineLevel="0" max="2" min="2" style="162" width="36.54"/>
  </cols>
  <sheetData>
    <row r="1" customFormat="false" ht="13.8" hidden="false" customHeight="false" outlineLevel="0" collapsed="false">
      <c r="A1" s="162" t="s">
        <v>22</v>
      </c>
      <c r="B1" s="26" t="s">
        <v>36</v>
      </c>
      <c r="C1" s="38" t="s">
        <v>59</v>
      </c>
      <c r="D1" s="20" t="s">
        <v>67</v>
      </c>
      <c r="E1" s="20" t="s">
        <v>71</v>
      </c>
      <c r="F1" s="163" t="s">
        <v>73</v>
      </c>
      <c r="G1" s="164" t="s">
        <v>76</v>
      </c>
      <c r="H1" s="53" t="s">
        <v>78</v>
      </c>
      <c r="I1" s="53" t="s">
        <v>79</v>
      </c>
      <c r="J1" s="53" t="s">
        <v>83</v>
      </c>
      <c r="K1" s="53" t="s">
        <v>86</v>
      </c>
      <c r="L1" s="53" t="s">
        <v>93</v>
      </c>
      <c r="M1" s="53" t="s">
        <v>101</v>
      </c>
      <c r="N1" s="53" t="s">
        <v>103</v>
      </c>
      <c r="O1" s="165" t="s">
        <v>104</v>
      </c>
      <c r="P1" s="166" t="s">
        <v>108</v>
      </c>
      <c r="Q1" s="53" t="s">
        <v>110</v>
      </c>
      <c r="R1" s="53" t="s">
        <v>111</v>
      </c>
      <c r="S1" s="53" t="s">
        <v>112</v>
      </c>
      <c r="T1" s="78" t="s">
        <v>114</v>
      </c>
      <c r="U1" s="78" t="s">
        <v>117</v>
      </c>
      <c r="V1" s="78" t="s">
        <v>118</v>
      </c>
      <c r="W1" s="167" t="s">
        <v>121</v>
      </c>
      <c r="X1" s="168" t="s">
        <v>123</v>
      </c>
      <c r="Y1" s="78" t="s">
        <v>125</v>
      </c>
      <c r="Z1" s="78" t="s">
        <v>126</v>
      </c>
      <c r="AA1" s="78" t="s">
        <v>127</v>
      </c>
      <c r="AB1" s="53" t="s">
        <v>128</v>
      </c>
      <c r="AC1" s="78" t="s">
        <v>125</v>
      </c>
      <c r="AD1" s="78" t="s">
        <v>126</v>
      </c>
      <c r="AE1" s="169" t="s">
        <v>127</v>
      </c>
      <c r="AF1" s="170" t="s">
        <v>131</v>
      </c>
      <c r="AG1" s="108" t="s">
        <v>132</v>
      </c>
      <c r="AH1" s="108" t="s">
        <v>135</v>
      </c>
      <c r="AI1" s="108" t="s">
        <v>138</v>
      </c>
      <c r="AJ1" s="20" t="s">
        <v>139</v>
      </c>
      <c r="AK1" s="108" t="s">
        <v>132</v>
      </c>
      <c r="AL1" s="108" t="s">
        <v>135</v>
      </c>
      <c r="AM1" s="108" t="s">
        <v>138</v>
      </c>
      <c r="AN1" s="20" t="s">
        <v>141</v>
      </c>
      <c r="AO1" s="171" t="s">
        <v>142</v>
      </c>
      <c r="AP1" s="172" t="s">
        <v>144</v>
      </c>
      <c r="AQ1" s="20" t="s">
        <v>145</v>
      </c>
      <c r="AR1" s="20" t="s">
        <v>146</v>
      </c>
      <c r="AS1" s="173" t="s">
        <v>147</v>
      </c>
      <c r="AT1" s="170" t="s">
        <v>149</v>
      </c>
      <c r="AU1" s="20" t="s">
        <v>151</v>
      </c>
      <c r="AV1" s="20" t="s">
        <v>152</v>
      </c>
      <c r="AW1" s="20" t="s">
        <v>153</v>
      </c>
      <c r="AX1" s="20" t="s">
        <v>154</v>
      </c>
      <c r="AY1" s="163" t="s">
        <v>155</v>
      </c>
      <c r="AZ1" s="168" t="s">
        <v>158</v>
      </c>
      <c r="BA1" s="53" t="s">
        <v>159</v>
      </c>
      <c r="BB1" s="78" t="s">
        <v>160</v>
      </c>
      <c r="BC1" s="78" t="s">
        <v>161</v>
      </c>
      <c r="BD1" s="78" t="s">
        <v>163</v>
      </c>
      <c r="BE1" s="78" t="s">
        <v>164</v>
      </c>
      <c r="BF1" s="165" t="s">
        <v>165</v>
      </c>
      <c r="BG1" s="166" t="s">
        <v>167</v>
      </c>
      <c r="BH1" s="53" t="s">
        <v>168</v>
      </c>
      <c r="BI1" s="174" t="s">
        <v>169</v>
      </c>
      <c r="BJ1" s="166" t="s">
        <v>171</v>
      </c>
      <c r="BK1" s="174" t="s">
        <v>172</v>
      </c>
      <c r="BL1" s="166" t="s">
        <v>174</v>
      </c>
      <c r="BM1" s="53" t="s">
        <v>176</v>
      </c>
      <c r="BN1" s="53" t="s">
        <v>177</v>
      </c>
      <c r="BO1" s="53" t="s">
        <v>178</v>
      </c>
      <c r="BP1" s="53" t="s">
        <v>179</v>
      </c>
      <c r="BQ1" s="53" t="s">
        <v>180</v>
      </c>
      <c r="BR1" s="174" t="s">
        <v>181</v>
      </c>
      <c r="BS1" s="168" t="s">
        <v>183</v>
      </c>
      <c r="BT1" s="53" t="s">
        <v>184</v>
      </c>
      <c r="BU1" s="53" t="s">
        <v>185</v>
      </c>
      <c r="BV1" s="53" t="s">
        <v>186</v>
      </c>
      <c r="BW1" s="53" t="s">
        <v>187</v>
      </c>
      <c r="BX1" s="53" t="s">
        <v>188</v>
      </c>
      <c r="BY1" s="175" t="s">
        <v>189</v>
      </c>
      <c r="BZ1" s="176" t="s">
        <v>192</v>
      </c>
      <c r="CA1" s="172" t="s">
        <v>195</v>
      </c>
      <c r="CB1" s="20" t="s">
        <v>197</v>
      </c>
      <c r="CC1" s="108" t="s">
        <v>199</v>
      </c>
      <c r="CD1" s="108" t="s">
        <v>200</v>
      </c>
      <c r="CE1" s="108" t="s">
        <v>201</v>
      </c>
      <c r="CF1" s="108" t="s">
        <v>202</v>
      </c>
      <c r="CG1" s="108" t="s">
        <v>203</v>
      </c>
      <c r="CH1" s="20" t="s">
        <v>204</v>
      </c>
      <c r="CI1" s="108" t="s">
        <v>206</v>
      </c>
      <c r="CJ1" s="177" t="s">
        <v>207</v>
      </c>
      <c r="CK1" s="172" t="s">
        <v>209</v>
      </c>
      <c r="CL1" s="20" t="s">
        <v>197</v>
      </c>
      <c r="CM1" s="108" t="s">
        <v>199</v>
      </c>
      <c r="CN1" s="108" t="s">
        <v>201</v>
      </c>
      <c r="CO1" s="108" t="s">
        <v>210</v>
      </c>
      <c r="CP1" s="108" t="s">
        <v>203</v>
      </c>
      <c r="CQ1" s="20" t="s">
        <v>204</v>
      </c>
      <c r="CR1" s="108" t="s">
        <v>206</v>
      </c>
      <c r="CS1" s="177" t="s">
        <v>207</v>
      </c>
      <c r="CT1" s="172" t="s">
        <v>211</v>
      </c>
      <c r="CU1" s="108" t="s">
        <v>213</v>
      </c>
      <c r="CV1" s="177" t="s">
        <v>215</v>
      </c>
      <c r="CW1" s="172" t="s">
        <v>217</v>
      </c>
      <c r="CX1" s="20" t="s">
        <v>218</v>
      </c>
      <c r="CY1" s="20" t="s">
        <v>219</v>
      </c>
      <c r="CZ1" s="173" t="s">
        <v>220</v>
      </c>
      <c r="DA1" s="172" t="s">
        <v>222</v>
      </c>
      <c r="DB1" s="108" t="s">
        <v>213</v>
      </c>
      <c r="DC1" s="177" t="s">
        <v>215</v>
      </c>
      <c r="DD1" s="170" t="s">
        <v>217</v>
      </c>
      <c r="DE1" s="20" t="s">
        <v>218</v>
      </c>
      <c r="DF1" s="20" t="s">
        <v>219</v>
      </c>
      <c r="DG1" s="163" t="s">
        <v>220</v>
      </c>
      <c r="DH1" s="168" t="s">
        <v>78</v>
      </c>
      <c r="DI1" s="53" t="s">
        <v>225</v>
      </c>
      <c r="DJ1" s="53" t="s">
        <v>229</v>
      </c>
      <c r="DK1" s="165" t="s">
        <v>230</v>
      </c>
      <c r="DL1" s="166" t="s">
        <v>232</v>
      </c>
      <c r="DM1" s="78" t="s">
        <v>174</v>
      </c>
      <c r="DN1" s="78" t="s">
        <v>176</v>
      </c>
      <c r="DO1" s="78" t="s">
        <v>177</v>
      </c>
      <c r="DP1" s="78" t="s">
        <v>178</v>
      </c>
      <c r="DQ1" s="78" t="s">
        <v>179</v>
      </c>
      <c r="DR1" s="78" t="s">
        <v>180</v>
      </c>
      <c r="DS1" s="78" t="s">
        <v>181</v>
      </c>
      <c r="DT1" s="53" t="s">
        <v>235</v>
      </c>
      <c r="DU1" s="78" t="s">
        <v>183</v>
      </c>
      <c r="DV1" s="78" t="s">
        <v>184</v>
      </c>
      <c r="DW1" s="78" t="s">
        <v>185</v>
      </c>
      <c r="DX1" s="78" t="s">
        <v>186</v>
      </c>
      <c r="DY1" s="78" t="s">
        <v>187</v>
      </c>
      <c r="DZ1" s="78" t="s">
        <v>188</v>
      </c>
      <c r="EA1" s="78" t="s">
        <v>189</v>
      </c>
    </row>
    <row r="2" customFormat="false" ht="13.8" hidden="false" customHeight="false" outlineLevel="0" collapsed="false">
      <c r="A2" s="23" t="s">
        <v>29</v>
      </c>
      <c r="B2" s="178" t="s">
        <v>38</v>
      </c>
      <c r="C2" s="39" t="s">
        <v>60</v>
      </c>
      <c r="D2" s="23" t="s">
        <v>13</v>
      </c>
      <c r="E2" s="23" t="n">
        <v>7.240512</v>
      </c>
      <c r="F2" s="179" t="n">
        <v>43.689186</v>
      </c>
      <c r="G2" s="180" t="s">
        <v>0</v>
      </c>
      <c r="H2" s="56" t="n">
        <v>129</v>
      </c>
      <c r="I2" s="56" t="s">
        <v>81</v>
      </c>
      <c r="J2" s="56" t="s">
        <v>84</v>
      </c>
      <c r="K2" s="56" t="s">
        <v>87</v>
      </c>
      <c r="L2" s="56" t="s">
        <v>94</v>
      </c>
      <c r="M2" s="56" t="s">
        <v>81</v>
      </c>
      <c r="N2" s="56" t="s">
        <v>81</v>
      </c>
      <c r="O2" s="181" t="s">
        <v>105</v>
      </c>
      <c r="P2" s="182"/>
      <c r="Q2" s="76"/>
      <c r="R2" s="76"/>
      <c r="S2" s="56" t="s">
        <v>81</v>
      </c>
      <c r="T2" s="76"/>
      <c r="U2" s="76"/>
      <c r="V2" s="76"/>
      <c r="W2" s="183"/>
      <c r="X2" s="184"/>
      <c r="Y2" s="56"/>
      <c r="Z2" s="56"/>
      <c r="AA2" s="56"/>
      <c r="AB2" s="56"/>
      <c r="AC2" s="56"/>
      <c r="AD2" s="56"/>
      <c r="AE2" s="185"/>
      <c r="AF2" s="186" t="n">
        <v>0</v>
      </c>
      <c r="AG2" s="23" t="s">
        <v>81</v>
      </c>
      <c r="AH2" s="23" t="s">
        <v>81</v>
      </c>
      <c r="AI2" s="23" t="s">
        <v>81</v>
      </c>
      <c r="AJ2" s="110" t="n">
        <v>0</v>
      </c>
      <c r="AK2" s="23" t="s">
        <v>56</v>
      </c>
      <c r="AL2" s="23" t="s">
        <v>56</v>
      </c>
      <c r="AM2" s="23" t="s">
        <v>56</v>
      </c>
      <c r="AN2" s="23" t="s">
        <v>81</v>
      </c>
      <c r="AO2" s="178" t="s">
        <v>81</v>
      </c>
      <c r="AP2" s="187" t="n">
        <v>4</v>
      </c>
      <c r="AQ2" s="23" t="n">
        <v>0</v>
      </c>
      <c r="AR2" s="23" t="n">
        <v>0</v>
      </c>
      <c r="AS2" s="188" t="n">
        <v>0</v>
      </c>
      <c r="AT2" s="189" t="s">
        <v>26</v>
      </c>
      <c r="AU2" s="23" t="s">
        <v>26</v>
      </c>
      <c r="AV2" s="23" t="s">
        <v>26</v>
      </c>
      <c r="AW2" s="23" t="s">
        <v>26</v>
      </c>
      <c r="AX2" s="23" t="s">
        <v>81</v>
      </c>
      <c r="AY2" s="190" t="s">
        <v>26</v>
      </c>
      <c r="AZ2" s="184"/>
      <c r="BA2" s="128"/>
      <c r="BB2" s="56" t="s">
        <v>82</v>
      </c>
      <c r="BC2" s="56" t="s">
        <v>82</v>
      </c>
      <c r="BD2" s="56" t="s">
        <v>162</v>
      </c>
      <c r="BE2" s="56" t="s">
        <v>82</v>
      </c>
      <c r="BF2" s="191"/>
      <c r="BG2" s="192"/>
      <c r="BH2" s="56"/>
      <c r="BI2" s="193"/>
      <c r="BJ2" s="192"/>
      <c r="BK2" s="193"/>
      <c r="BL2" s="192" t="s">
        <v>162</v>
      </c>
      <c r="BM2" s="56"/>
      <c r="BN2" s="56" t="s">
        <v>162</v>
      </c>
      <c r="BO2" s="56" t="s">
        <v>162</v>
      </c>
      <c r="BP2" s="56" t="s">
        <v>162</v>
      </c>
      <c r="BQ2" s="56" t="s">
        <v>162</v>
      </c>
      <c r="BR2" s="193"/>
      <c r="BS2" s="56" t="s">
        <v>162</v>
      </c>
      <c r="BT2" s="56" t="s">
        <v>162</v>
      </c>
      <c r="BU2" s="56"/>
      <c r="BV2" s="56" t="s">
        <v>162</v>
      </c>
      <c r="BW2" s="56" t="s">
        <v>162</v>
      </c>
      <c r="BX2" s="56" t="s">
        <v>162</v>
      </c>
      <c r="BY2" s="185" t="s">
        <v>162</v>
      </c>
      <c r="BZ2" s="194" t="s">
        <v>26</v>
      </c>
      <c r="CA2" s="187" t="s">
        <v>26</v>
      </c>
      <c r="CB2" s="128"/>
      <c r="CC2" s="23" t="s">
        <v>23</v>
      </c>
      <c r="CD2" s="23" t="s">
        <v>23</v>
      </c>
      <c r="CE2" s="23" t="s">
        <v>26</v>
      </c>
      <c r="CF2" s="23" t="s">
        <v>23</v>
      </c>
      <c r="CG2" s="23" t="s">
        <v>23</v>
      </c>
      <c r="CH2" s="128"/>
      <c r="CI2" s="76"/>
      <c r="CJ2" s="183"/>
      <c r="CK2" s="187" t="s">
        <v>23</v>
      </c>
      <c r="CL2" s="128"/>
      <c r="CM2" s="23" t="s">
        <v>23</v>
      </c>
      <c r="CN2" s="23" t="s">
        <v>26</v>
      </c>
      <c r="CO2" s="23" t="s">
        <v>23</v>
      </c>
      <c r="CP2" s="23" t="s">
        <v>23</v>
      </c>
      <c r="CQ2" s="128"/>
      <c r="CR2" s="76"/>
      <c r="CS2" s="183"/>
      <c r="CT2" s="187" t="s">
        <v>81</v>
      </c>
      <c r="CU2" s="23" t="n">
        <v>3</v>
      </c>
      <c r="CV2" s="188" t="n">
        <v>6</v>
      </c>
      <c r="CW2" s="187"/>
      <c r="CX2" s="23"/>
      <c r="CY2" s="23"/>
      <c r="CZ2" s="188"/>
      <c r="DA2" s="187"/>
      <c r="DB2" s="23"/>
      <c r="DC2" s="188"/>
      <c r="DD2" s="189"/>
      <c r="DE2" s="23"/>
      <c r="DF2" s="23"/>
      <c r="DG2" s="190"/>
      <c r="DH2" s="184" t="n">
        <v>129</v>
      </c>
      <c r="DI2" s="56"/>
      <c r="DJ2" s="56"/>
      <c r="DK2" s="181" t="n">
        <v>6</v>
      </c>
      <c r="DL2" s="195" t="n">
        <f aca="false">SUM(DM2:DS2)</f>
        <v>0.65</v>
      </c>
      <c r="DM2" s="77" t="n">
        <v>0.58</v>
      </c>
      <c r="DN2" s="77" t="n">
        <v>0</v>
      </c>
      <c r="DO2" s="77" t="n">
        <v>0.04</v>
      </c>
      <c r="DP2" s="77" t="n">
        <v>0.02</v>
      </c>
      <c r="DQ2" s="77" t="n">
        <v>0.01</v>
      </c>
      <c r="DR2" s="77" t="n">
        <v>0</v>
      </c>
      <c r="DS2" s="77" t="n">
        <v>0</v>
      </c>
      <c r="DT2" s="196" t="n">
        <f aca="false">SUM(DU2:EA2)</f>
        <v>0.36</v>
      </c>
      <c r="DU2" s="77" t="n">
        <v>0.01</v>
      </c>
      <c r="DV2" s="77" t="n">
        <v>0</v>
      </c>
      <c r="DW2" s="77" t="n">
        <v>0.01</v>
      </c>
      <c r="DX2" s="77" t="n">
        <v>0</v>
      </c>
      <c r="DY2" s="77" t="n">
        <v>0.09</v>
      </c>
      <c r="DZ2" s="77" t="n">
        <v>0.25</v>
      </c>
      <c r="EA2" s="77" t="n">
        <v>0</v>
      </c>
    </row>
    <row r="3" customFormat="false" ht="13.8" hidden="false" customHeight="false" outlineLevel="0" collapsed="false">
      <c r="A3" s="23" t="s">
        <v>30</v>
      </c>
      <c r="B3" s="178" t="s">
        <v>39</v>
      </c>
      <c r="C3" s="39" t="s">
        <v>61</v>
      </c>
      <c r="D3" s="23" t="s">
        <v>14</v>
      </c>
      <c r="E3" s="23" t="n">
        <v>7.754599</v>
      </c>
      <c r="F3" s="179" t="n">
        <v>48.591522</v>
      </c>
      <c r="G3" s="180" t="s">
        <v>0</v>
      </c>
      <c r="H3" s="56" t="n">
        <v>97</v>
      </c>
      <c r="I3" s="56" t="n">
        <v>2020</v>
      </c>
      <c r="J3" s="56" t="s">
        <v>84</v>
      </c>
      <c r="K3" s="56" t="s">
        <v>88</v>
      </c>
      <c r="L3" s="56" t="s">
        <v>95</v>
      </c>
      <c r="M3" s="56" t="n">
        <v>2025</v>
      </c>
      <c r="N3" s="56" t="n">
        <v>2025</v>
      </c>
      <c r="O3" s="181" t="s">
        <v>106</v>
      </c>
      <c r="P3" s="182"/>
      <c r="Q3" s="76"/>
      <c r="R3" s="76"/>
      <c r="S3" s="77" t="n">
        <v>0.7</v>
      </c>
      <c r="T3" s="56" t="s">
        <v>116</v>
      </c>
      <c r="U3" s="77" t="n">
        <v>0.6</v>
      </c>
      <c r="V3" s="56" t="s">
        <v>119</v>
      </c>
      <c r="W3" s="197" t="n">
        <v>0.8</v>
      </c>
      <c r="X3" s="184"/>
      <c r="Y3" s="56"/>
      <c r="Z3" s="56"/>
      <c r="AA3" s="56"/>
      <c r="AB3" s="56"/>
      <c r="AC3" s="56"/>
      <c r="AD3" s="56"/>
      <c r="AE3" s="185"/>
      <c r="AF3" s="198" t="n">
        <v>0</v>
      </c>
      <c r="AG3" s="76" t="s">
        <v>133</v>
      </c>
      <c r="AH3" s="76" t="s">
        <v>136</v>
      </c>
      <c r="AI3" s="76" t="s">
        <v>137</v>
      </c>
      <c r="AJ3" s="110" t="n">
        <v>0</v>
      </c>
      <c r="AK3" s="23" t="s">
        <v>56</v>
      </c>
      <c r="AL3" s="23" t="s">
        <v>56</v>
      </c>
      <c r="AM3" s="23" t="s">
        <v>56</v>
      </c>
      <c r="AN3" s="23" t="s">
        <v>23</v>
      </c>
      <c r="AO3" s="178" t="s">
        <v>26</v>
      </c>
      <c r="AP3" s="187" t="n">
        <v>0</v>
      </c>
      <c r="AQ3" s="23" t="n">
        <v>0</v>
      </c>
      <c r="AR3" s="23" t="n">
        <v>0</v>
      </c>
      <c r="AS3" s="188" t="n">
        <v>0</v>
      </c>
      <c r="AT3" s="189" t="s">
        <v>23</v>
      </c>
      <c r="AU3" s="23" t="s">
        <v>23</v>
      </c>
      <c r="AV3" s="23" t="s">
        <v>26</v>
      </c>
      <c r="AW3" s="23" t="s">
        <v>26</v>
      </c>
      <c r="AX3" s="23" t="s">
        <v>23</v>
      </c>
      <c r="AY3" s="190" t="s">
        <v>26</v>
      </c>
      <c r="AZ3" s="199" t="n">
        <v>0.6</v>
      </c>
      <c r="BA3" s="129"/>
      <c r="BB3" s="56" t="s">
        <v>82</v>
      </c>
      <c r="BC3" s="56" t="s">
        <v>82</v>
      </c>
      <c r="BD3" s="56" t="s">
        <v>162</v>
      </c>
      <c r="BE3" s="56" t="s">
        <v>82</v>
      </c>
      <c r="BF3" s="191"/>
      <c r="BG3" s="200" t="n">
        <v>0.4</v>
      </c>
      <c r="BH3" s="77"/>
      <c r="BI3" s="197"/>
      <c r="BJ3" s="200" t="n">
        <v>0.6</v>
      </c>
      <c r="BK3" s="197" t="n">
        <v>0.4</v>
      </c>
      <c r="BL3" s="192" t="s">
        <v>162</v>
      </c>
      <c r="BM3" s="56"/>
      <c r="BN3" s="56" t="s">
        <v>162</v>
      </c>
      <c r="BO3" s="56" t="s">
        <v>162</v>
      </c>
      <c r="BP3" s="56" t="s">
        <v>162</v>
      </c>
      <c r="BQ3" s="56" t="s">
        <v>162</v>
      </c>
      <c r="BR3" s="193"/>
      <c r="BS3" s="56" t="s">
        <v>162</v>
      </c>
      <c r="BT3" s="56" t="s">
        <v>162</v>
      </c>
      <c r="BU3" s="56"/>
      <c r="BV3" s="56"/>
      <c r="BW3" s="56"/>
      <c r="BX3" s="56"/>
      <c r="BY3" s="185"/>
      <c r="BZ3" s="194" t="s">
        <v>26</v>
      </c>
      <c r="CA3" s="187" t="s">
        <v>26</v>
      </c>
      <c r="CB3" s="128"/>
      <c r="CC3" s="23" t="s">
        <v>26</v>
      </c>
      <c r="CD3" s="23" t="s">
        <v>26</v>
      </c>
      <c r="CE3" s="23" t="s">
        <v>26</v>
      </c>
      <c r="CF3" s="23" t="s">
        <v>23</v>
      </c>
      <c r="CG3" s="23" t="s">
        <v>23</v>
      </c>
      <c r="CH3" s="128"/>
      <c r="CI3" s="23" t="s">
        <v>162</v>
      </c>
      <c r="CJ3" s="188"/>
      <c r="CK3" s="187" t="s">
        <v>23</v>
      </c>
      <c r="CL3" s="128"/>
      <c r="CM3" s="23" t="s">
        <v>26</v>
      </c>
      <c r="CN3" s="23" t="s">
        <v>26</v>
      </c>
      <c r="CO3" s="23" t="s">
        <v>23</v>
      </c>
      <c r="CP3" s="23" t="s">
        <v>23</v>
      </c>
      <c r="CQ3" s="128"/>
      <c r="CR3" s="23" t="s">
        <v>162</v>
      </c>
      <c r="CS3" s="188"/>
      <c r="CT3" s="187" t="s">
        <v>81</v>
      </c>
      <c r="CU3" s="23" t="n">
        <v>2</v>
      </c>
      <c r="CV3" s="188" t="n">
        <v>2</v>
      </c>
      <c r="CW3" s="187"/>
      <c r="CX3" s="23"/>
      <c r="CY3" s="23"/>
      <c r="CZ3" s="188"/>
      <c r="DA3" s="187" t="n">
        <v>100</v>
      </c>
      <c r="DB3" s="23" t="n">
        <v>3</v>
      </c>
      <c r="DC3" s="188" t="n">
        <v>3</v>
      </c>
      <c r="DD3" s="189" t="s">
        <v>26</v>
      </c>
      <c r="DE3" s="23" t="s">
        <v>26</v>
      </c>
      <c r="DF3" s="23" t="s">
        <v>26</v>
      </c>
      <c r="DG3" s="190" t="s">
        <v>26</v>
      </c>
      <c r="DH3" s="184" t="n">
        <v>97</v>
      </c>
      <c r="DI3" s="56" t="s">
        <v>227</v>
      </c>
      <c r="DJ3" s="77" t="n">
        <v>0.7</v>
      </c>
      <c r="DK3" s="181" t="n">
        <v>2</v>
      </c>
      <c r="DL3" s="195" t="n">
        <f aca="false">SUM(DM3:DS3)</f>
        <v>1</v>
      </c>
      <c r="DM3" s="77" t="n">
        <v>0.63</v>
      </c>
      <c r="DN3" s="77" t="n">
        <v>0</v>
      </c>
      <c r="DO3" s="77" t="n">
        <v>0.06</v>
      </c>
      <c r="DP3" s="77" t="n">
        <v>0.08</v>
      </c>
      <c r="DQ3" s="77" t="n">
        <v>0.22</v>
      </c>
      <c r="DR3" s="77" t="n">
        <v>0.01</v>
      </c>
      <c r="DS3" s="77" t="n">
        <v>0</v>
      </c>
      <c r="DT3" s="196" t="n">
        <f aca="false">SUM(DU3:EA3)</f>
        <v>0</v>
      </c>
      <c r="DU3" s="77" t="n">
        <v>0</v>
      </c>
      <c r="DV3" s="77" t="n">
        <v>0</v>
      </c>
      <c r="DW3" s="77" t="n">
        <v>0</v>
      </c>
      <c r="DX3" s="77" t="n">
        <v>0</v>
      </c>
      <c r="DY3" s="77" t="n">
        <v>0</v>
      </c>
      <c r="DZ3" s="77" t="n">
        <v>0</v>
      </c>
      <c r="EA3" s="77" t="n">
        <v>0</v>
      </c>
    </row>
    <row r="4" customFormat="false" ht="13.8" hidden="false" customHeight="false" outlineLevel="0" collapsed="false">
      <c r="A4" s="23" t="s">
        <v>31</v>
      </c>
      <c r="B4" s="178" t="s">
        <v>40</v>
      </c>
      <c r="C4" s="39" t="s">
        <v>62</v>
      </c>
      <c r="D4" s="23" t="s">
        <v>68</v>
      </c>
      <c r="E4" s="23" t="n">
        <v>2.519843</v>
      </c>
      <c r="F4" s="179" t="n">
        <v>49.006733</v>
      </c>
      <c r="G4" s="180" t="s">
        <v>1</v>
      </c>
      <c r="H4" s="56" t="n">
        <v>309</v>
      </c>
      <c r="I4" s="56" t="n">
        <v>2015</v>
      </c>
      <c r="J4" s="56" t="s">
        <v>84</v>
      </c>
      <c r="K4" s="56" t="s">
        <v>89</v>
      </c>
      <c r="L4" s="56" t="s">
        <v>96</v>
      </c>
      <c r="M4" s="56" t="n">
        <v>2015</v>
      </c>
      <c r="N4" s="56" t="n">
        <v>2015</v>
      </c>
      <c r="O4" s="181" t="s">
        <v>105</v>
      </c>
      <c r="P4" s="182"/>
      <c r="Q4" s="76"/>
      <c r="R4" s="76"/>
      <c r="S4" s="77" t="n">
        <v>0.95</v>
      </c>
      <c r="T4" s="56" t="s">
        <v>116</v>
      </c>
      <c r="U4" s="77" t="n">
        <v>0.91</v>
      </c>
      <c r="V4" s="56" t="s">
        <v>120</v>
      </c>
      <c r="W4" s="197" t="n">
        <v>0.98</v>
      </c>
      <c r="X4" s="184"/>
      <c r="Y4" s="56"/>
      <c r="Z4" s="56"/>
      <c r="AA4" s="56"/>
      <c r="AB4" s="56"/>
      <c r="AC4" s="56"/>
      <c r="AD4" s="56"/>
      <c r="AE4" s="185"/>
      <c r="AF4" s="186" t="n">
        <v>1</v>
      </c>
      <c r="AG4" s="23" t="s">
        <v>134</v>
      </c>
      <c r="AH4" s="23" t="s">
        <v>137</v>
      </c>
      <c r="AI4" s="23" t="s">
        <v>137</v>
      </c>
      <c r="AJ4" s="110" t="n">
        <v>1</v>
      </c>
      <c r="AK4" s="23" t="s">
        <v>140</v>
      </c>
      <c r="AL4" s="23" t="s">
        <v>137</v>
      </c>
      <c r="AM4" s="23" t="s">
        <v>137</v>
      </c>
      <c r="AN4" s="23" t="s">
        <v>23</v>
      </c>
      <c r="AO4" s="178" t="s">
        <v>23</v>
      </c>
      <c r="AP4" s="187" t="n">
        <v>1</v>
      </c>
      <c r="AQ4" s="23" t="n">
        <v>0</v>
      </c>
      <c r="AR4" s="23" t="n">
        <v>0</v>
      </c>
      <c r="AS4" s="188" t="n">
        <v>0</v>
      </c>
      <c r="AT4" s="189" t="s">
        <v>23</v>
      </c>
      <c r="AU4" s="23" t="s">
        <v>26</v>
      </c>
      <c r="AV4" s="23" t="s">
        <v>26</v>
      </c>
      <c r="AW4" s="23" t="s">
        <v>26</v>
      </c>
      <c r="AX4" s="23" t="s">
        <v>26</v>
      </c>
      <c r="AY4" s="190" t="s">
        <v>26</v>
      </c>
      <c r="AZ4" s="184" t="n">
        <v>80</v>
      </c>
      <c r="BA4" s="128"/>
      <c r="BB4" s="56" t="s">
        <v>82</v>
      </c>
      <c r="BC4" s="56" t="s">
        <v>82</v>
      </c>
      <c r="BD4" s="56" t="s">
        <v>82</v>
      </c>
      <c r="BE4" s="56" t="s">
        <v>162</v>
      </c>
      <c r="BF4" s="191"/>
      <c r="BG4" s="192" t="n">
        <v>20</v>
      </c>
      <c r="BH4" s="56"/>
      <c r="BI4" s="193"/>
      <c r="BJ4" s="192" t="n">
        <v>70</v>
      </c>
      <c r="BK4" s="193" t="n">
        <v>30</v>
      </c>
      <c r="BL4" s="192" t="s">
        <v>162</v>
      </c>
      <c r="BM4" s="56" t="s">
        <v>162</v>
      </c>
      <c r="BN4" s="56" t="s">
        <v>162</v>
      </c>
      <c r="BO4" s="56" t="s">
        <v>162</v>
      </c>
      <c r="BP4" s="56" t="s">
        <v>162</v>
      </c>
      <c r="BQ4" s="56" t="s">
        <v>162</v>
      </c>
      <c r="BR4" s="193"/>
      <c r="BS4" s="56" t="s">
        <v>162</v>
      </c>
      <c r="BT4" s="56" t="s">
        <v>162</v>
      </c>
      <c r="BU4" s="56"/>
      <c r="BV4" s="56"/>
      <c r="BW4" s="56"/>
      <c r="BX4" s="56"/>
      <c r="BY4" s="185" t="s">
        <v>162</v>
      </c>
      <c r="BZ4" s="194" t="s">
        <v>26</v>
      </c>
      <c r="CA4" s="187" t="s">
        <v>26</v>
      </c>
      <c r="CB4" s="128"/>
      <c r="CC4" s="23" t="s">
        <v>26</v>
      </c>
      <c r="CD4" s="23" t="s">
        <v>26</v>
      </c>
      <c r="CE4" s="23" t="s">
        <v>26</v>
      </c>
      <c r="CF4" s="23" t="s">
        <v>23</v>
      </c>
      <c r="CG4" s="23" t="s">
        <v>23</v>
      </c>
      <c r="CH4" s="128"/>
      <c r="CI4" s="23" t="s">
        <v>162</v>
      </c>
      <c r="CJ4" s="188"/>
      <c r="CK4" s="187" t="s">
        <v>26</v>
      </c>
      <c r="CL4" s="128"/>
      <c r="CM4" s="23" t="s">
        <v>26</v>
      </c>
      <c r="CN4" s="23" t="s">
        <v>26</v>
      </c>
      <c r="CO4" s="23" t="s">
        <v>23</v>
      </c>
      <c r="CP4" s="23" t="s">
        <v>23</v>
      </c>
      <c r="CQ4" s="128"/>
      <c r="CR4" s="23" t="s">
        <v>162</v>
      </c>
      <c r="CS4" s="188"/>
      <c r="CT4" s="187" t="s">
        <v>81</v>
      </c>
      <c r="CU4" s="23"/>
      <c r="CV4" s="188"/>
      <c r="CW4" s="187"/>
      <c r="CX4" s="23"/>
      <c r="CY4" s="23"/>
      <c r="CZ4" s="188"/>
      <c r="DA4" s="187"/>
      <c r="DB4" s="23"/>
      <c r="DC4" s="188"/>
      <c r="DD4" s="189"/>
      <c r="DE4" s="23"/>
      <c r="DF4" s="23"/>
      <c r="DG4" s="190"/>
      <c r="DH4" s="184" t="n">
        <v>309</v>
      </c>
      <c r="DI4" s="56" t="s">
        <v>228</v>
      </c>
      <c r="DJ4" s="77" t="n">
        <v>0.95</v>
      </c>
      <c r="DK4" s="181" t="n">
        <v>5</v>
      </c>
      <c r="DL4" s="195" t="n">
        <f aca="false">SUM(DM4:DS4)</f>
        <v>0</v>
      </c>
      <c r="DM4" s="77"/>
      <c r="DN4" s="77"/>
      <c r="DO4" s="77"/>
      <c r="DP4" s="77"/>
      <c r="DQ4" s="77"/>
      <c r="DR4" s="77"/>
      <c r="DS4" s="77"/>
      <c r="DT4" s="196" t="n">
        <f aca="false">SUM(DU4:EA4)</f>
        <v>0</v>
      </c>
      <c r="DU4" s="77"/>
      <c r="DV4" s="77"/>
      <c r="DW4" s="77"/>
      <c r="DX4" s="77"/>
      <c r="DY4" s="77"/>
      <c r="DZ4" s="77"/>
      <c r="EA4" s="77"/>
    </row>
    <row r="5" customFormat="false" ht="13.8" hidden="false" customHeight="false" outlineLevel="0" collapsed="false">
      <c r="A5" s="23" t="s">
        <v>32</v>
      </c>
      <c r="B5" s="178" t="s">
        <v>41</v>
      </c>
      <c r="C5" s="39" t="s">
        <v>63</v>
      </c>
      <c r="D5" s="23" t="s">
        <v>16</v>
      </c>
      <c r="E5" s="23" t="n">
        <v>6.6190552711</v>
      </c>
      <c r="F5" s="179" t="n">
        <v>45.8591651916</v>
      </c>
      <c r="G5" s="180" t="s">
        <v>2</v>
      </c>
      <c r="H5" s="56" t="n">
        <v>572</v>
      </c>
      <c r="I5" s="56" t="s">
        <v>81</v>
      </c>
      <c r="J5" s="56" t="s">
        <v>84</v>
      </c>
      <c r="K5" s="56" t="s">
        <v>90</v>
      </c>
      <c r="L5" s="56" t="s">
        <v>97</v>
      </c>
      <c r="M5" s="56" t="s">
        <v>81</v>
      </c>
      <c r="N5" s="56" t="s">
        <v>81</v>
      </c>
      <c r="O5" s="181" t="s">
        <v>105</v>
      </c>
      <c r="P5" s="182"/>
      <c r="Q5" s="76"/>
      <c r="R5" s="76"/>
      <c r="S5" s="56" t="s">
        <v>81</v>
      </c>
      <c r="T5" s="76"/>
      <c r="U5" s="76"/>
      <c r="V5" s="76"/>
      <c r="W5" s="183"/>
      <c r="X5" s="184"/>
      <c r="Y5" s="56"/>
      <c r="Z5" s="56"/>
      <c r="AA5" s="56"/>
      <c r="AB5" s="56"/>
      <c r="AC5" s="56"/>
      <c r="AD5" s="56"/>
      <c r="AE5" s="185"/>
      <c r="AF5" s="186" t="n">
        <v>1</v>
      </c>
      <c r="AG5" s="23" t="s">
        <v>81</v>
      </c>
      <c r="AH5" s="23" t="s">
        <v>81</v>
      </c>
      <c r="AI5" s="23" t="s">
        <v>81</v>
      </c>
      <c r="AJ5" s="110" t="n">
        <v>1</v>
      </c>
      <c r="AK5" s="23" t="s">
        <v>81</v>
      </c>
      <c r="AL5" s="23" t="s">
        <v>81</v>
      </c>
      <c r="AM5" s="23" t="s">
        <v>81</v>
      </c>
      <c r="AN5" s="23" t="s">
        <v>81</v>
      </c>
      <c r="AO5" s="178" t="s">
        <v>81</v>
      </c>
      <c r="AP5" s="187" t="n">
        <v>3</v>
      </c>
      <c r="AQ5" s="23" t="n">
        <v>2</v>
      </c>
      <c r="AR5" s="23" t="n">
        <v>0</v>
      </c>
      <c r="AS5" s="188" t="n">
        <v>1</v>
      </c>
      <c r="AT5" s="189" t="s">
        <v>23</v>
      </c>
      <c r="AU5" s="23" t="s">
        <v>23</v>
      </c>
      <c r="AV5" s="23" t="s">
        <v>23</v>
      </c>
      <c r="AW5" s="23" t="s">
        <v>23</v>
      </c>
      <c r="AX5" s="23" t="s">
        <v>23</v>
      </c>
      <c r="AY5" s="190" t="s">
        <v>26</v>
      </c>
      <c r="AZ5" s="184"/>
      <c r="BA5" s="128"/>
      <c r="BB5" s="56" t="s">
        <v>82</v>
      </c>
      <c r="BC5" s="56" t="s">
        <v>82</v>
      </c>
      <c r="BD5" s="56" t="s">
        <v>82</v>
      </c>
      <c r="BE5" s="56" t="s">
        <v>162</v>
      </c>
      <c r="BF5" s="191"/>
      <c r="BG5" s="192"/>
      <c r="BH5" s="56"/>
      <c r="BI5" s="193"/>
      <c r="BJ5" s="192"/>
      <c r="BK5" s="193"/>
      <c r="BL5" s="192" t="s">
        <v>162</v>
      </c>
      <c r="BM5" s="56" t="s">
        <v>162</v>
      </c>
      <c r="BN5" s="56" t="s">
        <v>162</v>
      </c>
      <c r="BO5" s="56"/>
      <c r="BP5" s="56" t="s">
        <v>162</v>
      </c>
      <c r="BQ5" s="56"/>
      <c r="BR5" s="193" t="s">
        <v>162</v>
      </c>
      <c r="BS5" s="184" t="s">
        <v>162</v>
      </c>
      <c r="BT5" s="56" t="s">
        <v>162</v>
      </c>
      <c r="BU5" s="56" t="s">
        <v>162</v>
      </c>
      <c r="BV5" s="56" t="s">
        <v>162</v>
      </c>
      <c r="BW5" s="56" t="s">
        <v>162</v>
      </c>
      <c r="BX5" s="56" t="s">
        <v>162</v>
      </c>
      <c r="BY5" s="185" t="s">
        <v>162</v>
      </c>
      <c r="BZ5" s="194" t="s">
        <v>23</v>
      </c>
      <c r="CA5" s="187" t="s">
        <v>23</v>
      </c>
      <c r="CB5" s="128"/>
      <c r="CC5" s="23" t="s">
        <v>26</v>
      </c>
      <c r="CD5" s="23" t="s">
        <v>23</v>
      </c>
      <c r="CE5" s="23" t="s">
        <v>23</v>
      </c>
      <c r="CF5" s="23" t="s">
        <v>23</v>
      </c>
      <c r="CG5" s="23" t="s">
        <v>23</v>
      </c>
      <c r="CH5" s="128"/>
      <c r="CI5" s="23" t="s">
        <v>162</v>
      </c>
      <c r="CJ5" s="188"/>
      <c r="CK5" s="187" t="s">
        <v>26</v>
      </c>
      <c r="CL5" s="128"/>
      <c r="CM5" s="23" t="s">
        <v>26</v>
      </c>
      <c r="CN5" s="23" t="s">
        <v>23</v>
      </c>
      <c r="CO5" s="23" t="s">
        <v>23</v>
      </c>
      <c r="CP5" s="23" t="s">
        <v>23</v>
      </c>
      <c r="CQ5" s="128"/>
      <c r="CR5" s="23" t="s">
        <v>162</v>
      </c>
      <c r="CS5" s="188"/>
      <c r="CT5" s="187" t="s">
        <v>81</v>
      </c>
      <c r="CU5" s="23"/>
      <c r="CV5" s="188"/>
      <c r="CW5" s="187"/>
      <c r="CX5" s="23"/>
      <c r="CY5" s="23"/>
      <c r="CZ5" s="188"/>
      <c r="DA5" s="187"/>
      <c r="DB5" s="23"/>
      <c r="DC5" s="188"/>
      <c r="DD5" s="189"/>
      <c r="DE5" s="23"/>
      <c r="DF5" s="23"/>
      <c r="DG5" s="190"/>
      <c r="DH5" s="184" t="n">
        <v>572</v>
      </c>
      <c r="DI5" s="56"/>
      <c r="DJ5" s="56"/>
      <c r="DK5" s="181" t="n">
        <v>8</v>
      </c>
      <c r="DL5" s="195" t="n">
        <f aca="false">SUM(DM5:DS5)</f>
        <v>0.33</v>
      </c>
      <c r="DM5" s="77" t="n">
        <v>0.07</v>
      </c>
      <c r="DN5" s="77" t="n">
        <v>0.01</v>
      </c>
      <c r="DO5" s="77" t="n">
        <v>0.05</v>
      </c>
      <c r="DP5" s="77" t="n">
        <v>0.01</v>
      </c>
      <c r="DQ5" s="77" t="n">
        <v>0.17</v>
      </c>
      <c r="DR5" s="77" t="n">
        <v>0.02</v>
      </c>
      <c r="DS5" s="77" t="n">
        <v>0</v>
      </c>
      <c r="DT5" s="196" t="n">
        <f aca="false">SUM(DU5:EA5)</f>
        <v>0.68</v>
      </c>
      <c r="DU5" s="77" t="n">
        <v>0.11</v>
      </c>
      <c r="DV5" s="77" t="n">
        <v>0</v>
      </c>
      <c r="DW5" s="77" t="n">
        <v>0.07</v>
      </c>
      <c r="DX5" s="77" t="n">
        <v>0.14</v>
      </c>
      <c r="DY5" s="77" t="n">
        <v>0.12</v>
      </c>
      <c r="DZ5" s="77" t="n">
        <v>0.21</v>
      </c>
      <c r="EA5" s="77" t="n">
        <v>0.03</v>
      </c>
    </row>
    <row r="6" customFormat="false" ht="13.8" hidden="false" customHeight="false" outlineLevel="0" collapsed="false">
      <c r="A6" s="23" t="s">
        <v>33</v>
      </c>
      <c r="B6" s="178" t="s">
        <v>42</v>
      </c>
      <c r="C6" s="39" t="s">
        <v>64</v>
      </c>
      <c r="D6" s="23" t="s">
        <v>69</v>
      </c>
      <c r="E6" s="23" t="n">
        <v>2.282836</v>
      </c>
      <c r="F6" s="179" t="n">
        <v>48.849778</v>
      </c>
      <c r="G6" s="180" t="s">
        <v>2</v>
      </c>
      <c r="H6" s="56" t="n">
        <v>764</v>
      </c>
      <c r="I6" s="56" t="n">
        <v>1976</v>
      </c>
      <c r="J6" s="56" t="s">
        <v>85</v>
      </c>
      <c r="K6" s="56" t="s">
        <v>91</v>
      </c>
      <c r="L6" s="56" t="s">
        <v>98</v>
      </c>
      <c r="M6" s="56" t="s">
        <v>81</v>
      </c>
      <c r="N6" s="56" t="s">
        <v>81</v>
      </c>
      <c r="O6" s="181" t="s">
        <v>106</v>
      </c>
      <c r="P6" s="182"/>
      <c r="Q6" s="76"/>
      <c r="R6" s="76"/>
      <c r="S6" s="56" t="s">
        <v>81</v>
      </c>
      <c r="T6" s="76"/>
      <c r="U6" s="76"/>
      <c r="V6" s="76"/>
      <c r="W6" s="183"/>
      <c r="X6" s="184"/>
      <c r="Y6" s="56"/>
      <c r="Z6" s="56"/>
      <c r="AA6" s="56"/>
      <c r="AB6" s="56"/>
      <c r="AC6" s="56"/>
      <c r="AD6" s="56"/>
      <c r="AE6" s="185"/>
      <c r="AF6" s="186" t="n">
        <v>1</v>
      </c>
      <c r="AG6" s="23" t="s">
        <v>81</v>
      </c>
      <c r="AH6" s="23" t="s">
        <v>81</v>
      </c>
      <c r="AI6" s="23" t="s">
        <v>81</v>
      </c>
      <c r="AJ6" s="110" t="n">
        <v>3</v>
      </c>
      <c r="AK6" s="23" t="s">
        <v>81</v>
      </c>
      <c r="AL6" s="23" t="s">
        <v>81</v>
      </c>
      <c r="AM6" s="23" t="s">
        <v>81</v>
      </c>
      <c r="AN6" s="23" t="s">
        <v>81</v>
      </c>
      <c r="AO6" s="178" t="s">
        <v>81</v>
      </c>
      <c r="AP6" s="187" t="n">
        <v>36</v>
      </c>
      <c r="AQ6" s="23" t="n">
        <v>1</v>
      </c>
      <c r="AR6" s="23" t="n">
        <v>0</v>
      </c>
      <c r="AS6" s="188" t="n">
        <v>1</v>
      </c>
      <c r="AT6" s="189" t="s">
        <v>23</v>
      </c>
      <c r="AU6" s="23" t="s">
        <v>23</v>
      </c>
      <c r="AV6" s="23" t="s">
        <v>26</v>
      </c>
      <c r="AW6" s="23" t="s">
        <v>26</v>
      </c>
      <c r="AX6" s="23" t="s">
        <v>23</v>
      </c>
      <c r="AY6" s="190" t="s">
        <v>26</v>
      </c>
      <c r="AZ6" s="184"/>
      <c r="BA6" s="128"/>
      <c r="BB6" s="56" t="s">
        <v>82</v>
      </c>
      <c r="BC6" s="56" t="s">
        <v>82</v>
      </c>
      <c r="BD6" s="56" t="s">
        <v>82</v>
      </c>
      <c r="BE6" s="56" t="s">
        <v>162</v>
      </c>
      <c r="BF6" s="191"/>
      <c r="BG6" s="192"/>
      <c r="BH6" s="56"/>
      <c r="BI6" s="193"/>
      <c r="BJ6" s="192"/>
      <c r="BK6" s="193"/>
      <c r="BL6" s="192" t="s">
        <v>162</v>
      </c>
      <c r="BM6" s="56"/>
      <c r="BN6" s="56" t="s">
        <v>162</v>
      </c>
      <c r="BO6" s="56" t="s">
        <v>162</v>
      </c>
      <c r="BP6" s="56" t="s">
        <v>162</v>
      </c>
      <c r="BQ6" s="56" t="s">
        <v>162</v>
      </c>
      <c r="BR6" s="193" t="s">
        <v>162</v>
      </c>
      <c r="BS6" s="184" t="s">
        <v>162</v>
      </c>
      <c r="BT6" s="56" t="s">
        <v>162</v>
      </c>
      <c r="BU6" s="56" t="s">
        <v>162</v>
      </c>
      <c r="BV6" s="56" t="s">
        <v>162</v>
      </c>
      <c r="BW6" s="56" t="s">
        <v>162</v>
      </c>
      <c r="BX6" s="56" t="s">
        <v>162</v>
      </c>
      <c r="BY6" s="185" t="s">
        <v>162</v>
      </c>
      <c r="BZ6" s="194" t="s">
        <v>26</v>
      </c>
      <c r="CA6" s="187" t="s">
        <v>26</v>
      </c>
      <c r="CB6" s="128"/>
      <c r="CC6" s="23" t="s">
        <v>23</v>
      </c>
      <c r="CD6" s="23" t="s">
        <v>23</v>
      </c>
      <c r="CE6" s="23" t="s">
        <v>26</v>
      </c>
      <c r="CF6" s="23" t="s">
        <v>23</v>
      </c>
      <c r="CG6" s="23" t="s">
        <v>23</v>
      </c>
      <c r="CH6" s="128"/>
      <c r="CI6" s="76"/>
      <c r="CJ6" s="183"/>
      <c r="CK6" s="187" t="s">
        <v>23</v>
      </c>
      <c r="CL6" s="128"/>
      <c r="CM6" s="23" t="s">
        <v>23</v>
      </c>
      <c r="CN6" s="23" t="s">
        <v>26</v>
      </c>
      <c r="CO6" s="23" t="s">
        <v>23</v>
      </c>
      <c r="CP6" s="23" t="s">
        <v>23</v>
      </c>
      <c r="CQ6" s="128"/>
      <c r="CR6" s="76"/>
      <c r="CS6" s="183"/>
      <c r="CT6" s="187" t="s">
        <v>81</v>
      </c>
      <c r="CU6" s="23"/>
      <c r="CV6" s="188"/>
      <c r="CW6" s="187"/>
      <c r="CX6" s="23"/>
      <c r="CY6" s="23"/>
      <c r="CZ6" s="188"/>
      <c r="DA6" s="187"/>
      <c r="DB6" s="23"/>
      <c r="DC6" s="188"/>
      <c r="DD6" s="189"/>
      <c r="DE6" s="23"/>
      <c r="DF6" s="23"/>
      <c r="DG6" s="190"/>
      <c r="DH6" s="184" t="n">
        <v>764</v>
      </c>
      <c r="DI6" s="56"/>
      <c r="DJ6" s="56"/>
      <c r="DK6" s="181" t="n">
        <v>7</v>
      </c>
      <c r="DL6" s="195" t="n">
        <f aca="false">SUM(DM6:DS6)</f>
        <v>0.81</v>
      </c>
      <c r="DM6" s="77" t="n">
        <v>0.4</v>
      </c>
      <c r="DN6" s="77" t="n">
        <v>0</v>
      </c>
      <c r="DO6" s="77" t="n">
        <v>0.05</v>
      </c>
      <c r="DP6" s="77" t="n">
        <v>0.22</v>
      </c>
      <c r="DQ6" s="77" t="n">
        <v>0.12</v>
      </c>
      <c r="DR6" s="77" t="n">
        <v>0.02</v>
      </c>
      <c r="DS6" s="77" t="n">
        <v>0</v>
      </c>
      <c r="DT6" s="196" t="n">
        <f aca="false">SUM(DU6:EA6)</f>
        <v>0.2</v>
      </c>
      <c r="DU6" s="77" t="n">
        <v>0.13</v>
      </c>
      <c r="DV6" s="77" t="n">
        <v>0</v>
      </c>
      <c r="DW6" s="77" t="n">
        <v>0</v>
      </c>
      <c r="DX6" s="77" t="n">
        <v>0</v>
      </c>
      <c r="DY6" s="77" t="n">
        <v>0</v>
      </c>
      <c r="DZ6" s="77" t="n">
        <v>0.07</v>
      </c>
      <c r="EA6" s="77" t="n">
        <v>0</v>
      </c>
    </row>
    <row r="7" customFormat="false" ht="13.8" hidden="false" customHeight="false" outlineLevel="0" collapsed="false">
      <c r="A7" s="23" t="s">
        <v>34</v>
      </c>
      <c r="B7" s="178" t="s">
        <v>43</v>
      </c>
      <c r="C7" s="39" t="s">
        <v>65</v>
      </c>
      <c r="D7" s="23" t="s">
        <v>69</v>
      </c>
      <c r="E7" s="23" t="n">
        <v>2.329923</v>
      </c>
      <c r="F7" s="179" t="n">
        <v>48.885048</v>
      </c>
      <c r="G7" s="180" t="s">
        <v>3</v>
      </c>
      <c r="H7" s="56" t="n">
        <v>305</v>
      </c>
      <c r="I7" s="56" t="s">
        <v>81</v>
      </c>
      <c r="J7" s="56" t="s">
        <v>85</v>
      </c>
      <c r="K7" s="56" t="s">
        <v>91</v>
      </c>
      <c r="L7" s="56" t="s">
        <v>99</v>
      </c>
      <c r="M7" s="56" t="s">
        <v>81</v>
      </c>
      <c r="N7" s="56" t="s">
        <v>81</v>
      </c>
      <c r="O7" s="181" t="s">
        <v>106</v>
      </c>
      <c r="P7" s="182"/>
      <c r="Q7" s="76"/>
      <c r="R7" s="76"/>
      <c r="S7" s="56" t="s">
        <v>81</v>
      </c>
      <c r="T7" s="76"/>
      <c r="U7" s="76"/>
      <c r="V7" s="76"/>
      <c r="W7" s="183"/>
      <c r="X7" s="184"/>
      <c r="Y7" s="56"/>
      <c r="Z7" s="56"/>
      <c r="AA7" s="56"/>
      <c r="AB7" s="56"/>
      <c r="AC7" s="56"/>
      <c r="AD7" s="56"/>
      <c r="AE7" s="185"/>
      <c r="AF7" s="186" t="n">
        <v>0</v>
      </c>
      <c r="AG7" s="23" t="s">
        <v>81</v>
      </c>
      <c r="AH7" s="23" t="s">
        <v>81</v>
      </c>
      <c r="AI7" s="23" t="s">
        <v>81</v>
      </c>
      <c r="AJ7" s="110" t="n">
        <v>1</v>
      </c>
      <c r="AK7" s="23" t="s">
        <v>81</v>
      </c>
      <c r="AL7" s="23" t="s">
        <v>81</v>
      </c>
      <c r="AM7" s="23" t="s">
        <v>81</v>
      </c>
      <c r="AN7" s="23" t="s">
        <v>81</v>
      </c>
      <c r="AO7" s="178" t="s">
        <v>81</v>
      </c>
      <c r="AP7" s="187" t="n">
        <v>1</v>
      </c>
      <c r="AQ7" s="23" t="n">
        <v>1</v>
      </c>
      <c r="AR7" s="23" t="n">
        <v>0</v>
      </c>
      <c r="AS7" s="188" t="n">
        <v>0</v>
      </c>
      <c r="AT7" s="189" t="s">
        <v>26</v>
      </c>
      <c r="AU7" s="23" t="s">
        <v>23</v>
      </c>
      <c r="AV7" s="23" t="s">
        <v>23</v>
      </c>
      <c r="AW7" s="23" t="s">
        <v>23</v>
      </c>
      <c r="AX7" s="23" t="s">
        <v>23</v>
      </c>
      <c r="AY7" s="190" t="s">
        <v>26</v>
      </c>
      <c r="AZ7" s="184"/>
      <c r="BA7" s="128"/>
      <c r="BB7" s="56" t="s">
        <v>82</v>
      </c>
      <c r="BC7" s="56" t="s">
        <v>162</v>
      </c>
      <c r="BD7" s="56" t="s">
        <v>82</v>
      </c>
      <c r="BE7" s="56" t="s">
        <v>82</v>
      </c>
      <c r="BF7" s="191"/>
      <c r="BG7" s="192"/>
      <c r="BH7" s="56"/>
      <c r="BI7" s="193"/>
      <c r="BJ7" s="192"/>
      <c r="BK7" s="193"/>
      <c r="BL7" s="192" t="s">
        <v>162</v>
      </c>
      <c r="BM7" s="56" t="s">
        <v>162</v>
      </c>
      <c r="BN7" s="56" t="s">
        <v>162</v>
      </c>
      <c r="BO7" s="56" t="s">
        <v>162</v>
      </c>
      <c r="BP7" s="56" t="s">
        <v>162</v>
      </c>
      <c r="BQ7" s="56" t="s">
        <v>162</v>
      </c>
      <c r="BR7" s="193" t="s">
        <v>162</v>
      </c>
      <c r="BS7" s="184" t="s">
        <v>162</v>
      </c>
      <c r="BT7" s="56" t="s">
        <v>162</v>
      </c>
      <c r="BU7" s="56" t="s">
        <v>162</v>
      </c>
      <c r="BV7" s="56" t="s">
        <v>162</v>
      </c>
      <c r="BW7" s="56"/>
      <c r="BX7" s="56" t="s">
        <v>162</v>
      </c>
      <c r="BY7" s="185" t="s">
        <v>162</v>
      </c>
      <c r="BZ7" s="194" t="s">
        <v>26</v>
      </c>
      <c r="CA7" s="187" t="s">
        <v>26</v>
      </c>
      <c r="CB7" s="128"/>
      <c r="CC7" s="23" t="s">
        <v>26</v>
      </c>
      <c r="CD7" s="23" t="s">
        <v>23</v>
      </c>
      <c r="CE7" s="23" t="s">
        <v>23</v>
      </c>
      <c r="CF7" s="23" t="s">
        <v>23</v>
      </c>
      <c r="CG7" s="23" t="s">
        <v>23</v>
      </c>
      <c r="CH7" s="128"/>
      <c r="CI7" s="23" t="s">
        <v>162</v>
      </c>
      <c r="CJ7" s="188"/>
      <c r="CK7" s="187" t="s">
        <v>23</v>
      </c>
      <c r="CL7" s="128"/>
      <c r="CM7" s="23" t="s">
        <v>26</v>
      </c>
      <c r="CN7" s="23" t="s">
        <v>23</v>
      </c>
      <c r="CO7" s="23" t="s">
        <v>23</v>
      </c>
      <c r="CP7" s="23" t="s">
        <v>23</v>
      </c>
      <c r="CQ7" s="128"/>
      <c r="CR7" s="23" t="s">
        <v>162</v>
      </c>
      <c r="CS7" s="188"/>
      <c r="CT7" s="187" t="s">
        <v>81</v>
      </c>
      <c r="CU7" s="23"/>
      <c r="CV7" s="188"/>
      <c r="CW7" s="187"/>
      <c r="CX7" s="23"/>
      <c r="CY7" s="23"/>
      <c r="CZ7" s="188"/>
      <c r="DA7" s="187"/>
      <c r="DB7" s="23"/>
      <c r="DC7" s="188"/>
      <c r="DD7" s="189"/>
      <c r="DE7" s="23"/>
      <c r="DF7" s="23"/>
      <c r="DG7" s="190"/>
      <c r="DH7" s="184" t="n">
        <v>305</v>
      </c>
      <c r="DI7" s="56"/>
      <c r="DJ7" s="56"/>
      <c r="DK7" s="181" t="n">
        <v>6</v>
      </c>
      <c r="DL7" s="195" t="n">
        <f aca="false">SUM(DM7:DS7)</f>
        <v>0.93</v>
      </c>
      <c r="DM7" s="77" t="n">
        <v>0.5</v>
      </c>
      <c r="DN7" s="77" t="n">
        <v>0.29</v>
      </c>
      <c r="DO7" s="77" t="n">
        <v>0.07</v>
      </c>
      <c r="DP7" s="77" t="n">
        <v>0</v>
      </c>
      <c r="DQ7" s="77" t="n">
        <v>0.07</v>
      </c>
      <c r="DR7" s="77" t="n">
        <v>0</v>
      </c>
      <c r="DS7" s="77" t="n">
        <v>0</v>
      </c>
      <c r="DT7" s="196" t="n">
        <f aca="false">SUM(DU7:EA7)</f>
        <v>0.06</v>
      </c>
      <c r="DU7" s="77" t="n">
        <v>0.02</v>
      </c>
      <c r="DV7" s="77" t="n">
        <v>0</v>
      </c>
      <c r="DW7" s="77" t="n">
        <v>0.02</v>
      </c>
      <c r="DX7" s="77" t="n">
        <v>0</v>
      </c>
      <c r="DY7" s="77" t="n">
        <v>0</v>
      </c>
      <c r="DZ7" s="77" t="n">
        <v>0</v>
      </c>
      <c r="EA7" s="77" t="n">
        <v>0.02</v>
      </c>
    </row>
    <row r="8" customFormat="false" ht="13.8" hidden="false" customHeight="false" outlineLevel="0" collapsed="false">
      <c r="A8" s="23" t="s">
        <v>35</v>
      </c>
      <c r="B8" s="178" t="s">
        <v>44</v>
      </c>
      <c r="C8" s="39" t="s">
        <v>66</v>
      </c>
      <c r="D8" s="23" t="s">
        <v>70</v>
      </c>
      <c r="E8" s="23" t="n">
        <v>2.256274</v>
      </c>
      <c r="F8" s="179" t="n">
        <v>48.833827</v>
      </c>
      <c r="G8" s="180" t="s">
        <v>3</v>
      </c>
      <c r="H8" s="56" t="n">
        <v>191</v>
      </c>
      <c r="I8" s="56" t="s">
        <v>81</v>
      </c>
      <c r="J8" s="56" t="s">
        <v>84</v>
      </c>
      <c r="K8" s="56" t="s">
        <v>92</v>
      </c>
      <c r="L8" s="56" t="s">
        <v>100</v>
      </c>
      <c r="M8" s="56" t="s">
        <v>81</v>
      </c>
      <c r="N8" s="56" t="s">
        <v>81</v>
      </c>
      <c r="O8" s="181" t="s">
        <v>106</v>
      </c>
      <c r="P8" s="182"/>
      <c r="Q8" s="76"/>
      <c r="R8" s="76"/>
      <c r="S8" s="56" t="s">
        <v>81</v>
      </c>
      <c r="T8" s="76"/>
      <c r="U8" s="76"/>
      <c r="V8" s="76"/>
      <c r="W8" s="183"/>
      <c r="X8" s="184"/>
      <c r="Y8" s="56"/>
      <c r="Z8" s="56"/>
      <c r="AA8" s="56"/>
      <c r="AB8" s="56"/>
      <c r="AC8" s="56"/>
      <c r="AD8" s="56"/>
      <c r="AE8" s="185"/>
      <c r="AF8" s="186" t="n">
        <v>1</v>
      </c>
      <c r="AG8" s="23" t="s">
        <v>81</v>
      </c>
      <c r="AH8" s="23" t="s">
        <v>81</v>
      </c>
      <c r="AI8" s="23" t="s">
        <v>81</v>
      </c>
      <c r="AJ8" s="110" t="n">
        <v>2</v>
      </c>
      <c r="AK8" s="23" t="s">
        <v>81</v>
      </c>
      <c r="AL8" s="23" t="s">
        <v>81</v>
      </c>
      <c r="AM8" s="23" t="s">
        <v>81</v>
      </c>
      <c r="AN8" s="23" t="s">
        <v>81</v>
      </c>
      <c r="AO8" s="178" t="s">
        <v>81</v>
      </c>
      <c r="AP8" s="187" t="n">
        <v>13</v>
      </c>
      <c r="AQ8" s="23" t="n">
        <v>1</v>
      </c>
      <c r="AR8" s="23" t="n">
        <v>0</v>
      </c>
      <c r="AS8" s="188" t="n">
        <v>1</v>
      </c>
      <c r="AT8" s="189" t="s">
        <v>26</v>
      </c>
      <c r="AU8" s="23" t="s">
        <v>23</v>
      </c>
      <c r="AV8" s="23" t="s">
        <v>26</v>
      </c>
      <c r="AW8" s="23" t="s">
        <v>23</v>
      </c>
      <c r="AX8" s="23" t="s">
        <v>23</v>
      </c>
      <c r="AY8" s="190" t="s">
        <v>26</v>
      </c>
      <c r="AZ8" s="184"/>
      <c r="BA8" s="128"/>
      <c r="BB8" s="56" t="s">
        <v>82</v>
      </c>
      <c r="BC8" s="56" t="s">
        <v>162</v>
      </c>
      <c r="BD8" s="56" t="s">
        <v>82</v>
      </c>
      <c r="BE8" s="56" t="s">
        <v>82</v>
      </c>
      <c r="BF8" s="191"/>
      <c r="BG8" s="192"/>
      <c r="BH8" s="56"/>
      <c r="BI8" s="193"/>
      <c r="BJ8" s="192"/>
      <c r="BK8" s="193"/>
      <c r="BL8" s="192" t="s">
        <v>162</v>
      </c>
      <c r="BM8" s="56" t="s">
        <v>162</v>
      </c>
      <c r="BN8" s="56" t="s">
        <v>162</v>
      </c>
      <c r="BO8" s="56" t="s">
        <v>162</v>
      </c>
      <c r="BP8" s="56" t="s">
        <v>162</v>
      </c>
      <c r="BQ8" s="56" t="s">
        <v>162</v>
      </c>
      <c r="BR8" s="193"/>
      <c r="BS8" s="184" t="s">
        <v>162</v>
      </c>
      <c r="BT8" s="56" t="s">
        <v>162</v>
      </c>
      <c r="BU8" s="56"/>
      <c r="BV8" s="56"/>
      <c r="BW8" s="56"/>
      <c r="BX8" s="56" t="s">
        <v>162</v>
      </c>
      <c r="BY8" s="185"/>
      <c r="BZ8" s="194" t="s">
        <v>26</v>
      </c>
      <c r="CA8" s="187" t="s">
        <v>26</v>
      </c>
      <c r="CB8" s="128"/>
      <c r="CC8" s="23" t="s">
        <v>26</v>
      </c>
      <c r="CD8" s="23" t="s">
        <v>23</v>
      </c>
      <c r="CE8" s="23" t="s">
        <v>23</v>
      </c>
      <c r="CF8" s="23" t="s">
        <v>23</v>
      </c>
      <c r="CG8" s="23" t="s">
        <v>23</v>
      </c>
      <c r="CH8" s="128"/>
      <c r="CI8" s="23" t="s">
        <v>162</v>
      </c>
      <c r="CJ8" s="188"/>
      <c r="CK8" s="187" t="s">
        <v>23</v>
      </c>
      <c r="CL8" s="128"/>
      <c r="CM8" s="23" t="s">
        <v>26</v>
      </c>
      <c r="CN8" s="23" t="s">
        <v>23</v>
      </c>
      <c r="CO8" s="23" t="s">
        <v>23</v>
      </c>
      <c r="CP8" s="23" t="s">
        <v>23</v>
      </c>
      <c r="CQ8" s="128"/>
      <c r="CR8" s="23" t="s">
        <v>162</v>
      </c>
      <c r="CS8" s="188"/>
      <c r="CT8" s="187" t="s">
        <v>81</v>
      </c>
      <c r="CU8" s="23"/>
      <c r="CV8" s="188"/>
      <c r="CW8" s="187"/>
      <c r="CX8" s="23"/>
      <c r="CY8" s="23"/>
      <c r="CZ8" s="188"/>
      <c r="DA8" s="187"/>
      <c r="DB8" s="23"/>
      <c r="DC8" s="188"/>
      <c r="DD8" s="189"/>
      <c r="DE8" s="23"/>
      <c r="DF8" s="23"/>
      <c r="DG8" s="190"/>
      <c r="DH8" s="184" t="n">
        <v>191</v>
      </c>
      <c r="DI8" s="56"/>
      <c r="DJ8" s="56"/>
      <c r="DK8" s="181" t="n">
        <v>6</v>
      </c>
      <c r="DL8" s="195" t="n">
        <f aca="false">SUM(DM8:DS8)</f>
        <v>0.99</v>
      </c>
      <c r="DM8" s="77" t="n">
        <v>0.46</v>
      </c>
      <c r="DN8" s="77" t="n">
        <v>0.13</v>
      </c>
      <c r="DO8" s="77" t="n">
        <v>0.08</v>
      </c>
      <c r="DP8" s="77" t="n">
        <v>0.15</v>
      </c>
      <c r="DQ8" s="77" t="n">
        <v>0.14</v>
      </c>
      <c r="DR8" s="77" t="n">
        <v>0.03</v>
      </c>
      <c r="DS8" s="77" t="n">
        <v>0</v>
      </c>
      <c r="DT8" s="196" t="n">
        <f aca="false">SUM(DU8:EA8)</f>
        <v>0</v>
      </c>
      <c r="DU8" s="77" t="n">
        <v>0</v>
      </c>
      <c r="DV8" s="77" t="n">
        <v>0</v>
      </c>
      <c r="DW8" s="77" t="n">
        <v>0</v>
      </c>
      <c r="DX8" s="77" t="n">
        <v>0</v>
      </c>
      <c r="DY8" s="77" t="n">
        <v>0</v>
      </c>
      <c r="DZ8" s="77" t="n">
        <v>0</v>
      </c>
      <c r="EA8" s="7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A9" activeCellId="0" sqref="A1:EA9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2" min="2" style="0" width="35.37"/>
    <col collapsed="false" customWidth="true" hidden="false" outlineLevel="0" max="3" min="3" style="0" width="13.3"/>
    <col collapsed="false" customWidth="true" hidden="false" outlineLevel="0" max="4" min="4" style="0" width="23.57"/>
  </cols>
  <sheetData>
    <row r="1" customFormat="false" ht="13.8" hidden="false" customHeight="false" outlineLevel="0" collapsed="false">
      <c r="A1" s="0" t="n">
        <v>1</v>
      </c>
      <c r="E1" s="0" t="n">
        <v>1</v>
      </c>
      <c r="F1" s="0" t="n">
        <v>1</v>
      </c>
      <c r="G1" s="0" t="n">
        <v>1</v>
      </c>
      <c r="H1" s="0" t="n">
        <v>1</v>
      </c>
      <c r="AF1" s="0" t="n">
        <v>1</v>
      </c>
      <c r="AJ1" s="0" t="n">
        <v>1</v>
      </c>
      <c r="AP1" s="0" t="n">
        <v>1</v>
      </c>
      <c r="AQ1" s="0" t="n">
        <v>1</v>
      </c>
      <c r="AS1" s="0" t="n">
        <v>1</v>
      </c>
      <c r="AT1" s="0" t="n">
        <v>1</v>
      </c>
      <c r="AU1" s="0" t="n">
        <v>1</v>
      </c>
      <c r="AV1" s="0" t="n">
        <v>1</v>
      </c>
      <c r="AW1" s="0" t="n">
        <v>1</v>
      </c>
      <c r="AX1" s="0" t="n">
        <v>1</v>
      </c>
      <c r="BC1" s="0" t="n">
        <v>1</v>
      </c>
      <c r="BD1" s="0" t="n">
        <v>1</v>
      </c>
      <c r="BE1" s="0" t="n">
        <v>1</v>
      </c>
      <c r="BL1" s="0" t="n">
        <v>1</v>
      </c>
      <c r="BM1" s="0" t="n">
        <v>1</v>
      </c>
      <c r="BN1" s="0" t="n">
        <v>1</v>
      </c>
      <c r="BO1" s="0" t="n">
        <v>1</v>
      </c>
      <c r="BP1" s="0" t="n">
        <v>1</v>
      </c>
      <c r="BQ1" s="0" t="n">
        <v>1</v>
      </c>
      <c r="BR1" s="0" t="n">
        <v>1</v>
      </c>
      <c r="BS1" s="0" t="n">
        <v>1</v>
      </c>
      <c r="BT1" s="0" t="n">
        <v>1</v>
      </c>
      <c r="BU1" s="0" t="n">
        <v>1</v>
      </c>
      <c r="BV1" s="0" t="n">
        <v>1</v>
      </c>
      <c r="BW1" s="0" t="n">
        <v>1</v>
      </c>
      <c r="BX1" s="0" t="n">
        <v>1</v>
      </c>
      <c r="BY1" s="0" t="n">
        <v>1</v>
      </c>
      <c r="CC1" s="0" t="n">
        <v>1</v>
      </c>
      <c r="CD1" s="0" t="n">
        <v>1</v>
      </c>
      <c r="CE1" s="0" t="n">
        <v>1</v>
      </c>
      <c r="CM1" s="0" t="n">
        <v>1</v>
      </c>
      <c r="CN1" s="0" t="n">
        <v>1</v>
      </c>
      <c r="DK1" s="0" t="n">
        <v>1</v>
      </c>
      <c r="DL1" s="0" t="n">
        <v>1</v>
      </c>
      <c r="DM1" s="0" t="n">
        <v>1</v>
      </c>
      <c r="DN1" s="0" t="n">
        <v>1</v>
      </c>
      <c r="DO1" s="0" t="n">
        <v>1</v>
      </c>
      <c r="DP1" s="0" t="n">
        <v>1</v>
      </c>
      <c r="DQ1" s="0" t="n">
        <v>1</v>
      </c>
      <c r="DR1" s="0" t="n">
        <v>1</v>
      </c>
      <c r="DS1" s="0" t="n">
        <v>1</v>
      </c>
      <c r="DT1" s="0" t="n">
        <v>1</v>
      </c>
      <c r="DU1" s="0" t="n">
        <v>1</v>
      </c>
      <c r="DV1" s="0" t="n">
        <v>1</v>
      </c>
      <c r="DW1" s="0" t="n">
        <v>1</v>
      </c>
      <c r="DX1" s="0" t="n">
        <v>1</v>
      </c>
      <c r="DY1" s="0" t="n">
        <v>1</v>
      </c>
      <c r="DZ1" s="0" t="n">
        <v>1</v>
      </c>
      <c r="EA1" s="0" t="n">
        <v>1</v>
      </c>
    </row>
    <row r="2" customFormat="false" ht="16.75" hidden="false" customHeight="false" outlineLevel="0" collapsed="false">
      <c r="A2" s="26" t="s">
        <v>22</v>
      </c>
      <c r="B2" s="26" t="s">
        <v>36</v>
      </c>
      <c r="C2" s="38" t="s">
        <v>59</v>
      </c>
      <c r="D2" s="20" t="s">
        <v>67</v>
      </c>
      <c r="E2" s="20" t="s">
        <v>71</v>
      </c>
      <c r="F2" s="163" t="s">
        <v>73</v>
      </c>
      <c r="G2" s="164" t="s">
        <v>76</v>
      </c>
      <c r="H2" s="53" t="s">
        <v>78</v>
      </c>
      <c r="I2" s="53" t="s">
        <v>79</v>
      </c>
      <c r="J2" s="53" t="s">
        <v>83</v>
      </c>
      <c r="K2" s="53" t="s">
        <v>86</v>
      </c>
      <c r="L2" s="53" t="s">
        <v>93</v>
      </c>
      <c r="M2" s="53" t="s">
        <v>101</v>
      </c>
      <c r="N2" s="53" t="s">
        <v>103</v>
      </c>
      <c r="O2" s="165" t="s">
        <v>104</v>
      </c>
      <c r="P2" s="166" t="s">
        <v>108</v>
      </c>
      <c r="Q2" s="53" t="s">
        <v>110</v>
      </c>
      <c r="R2" s="53" t="s">
        <v>111</v>
      </c>
      <c r="S2" s="53" t="s">
        <v>112</v>
      </c>
      <c r="T2" s="78" t="s">
        <v>114</v>
      </c>
      <c r="U2" s="78" t="s">
        <v>117</v>
      </c>
      <c r="V2" s="78" t="s">
        <v>118</v>
      </c>
      <c r="W2" s="167" t="s">
        <v>121</v>
      </c>
      <c r="X2" s="168" t="s">
        <v>123</v>
      </c>
      <c r="Y2" s="78" t="s">
        <v>125</v>
      </c>
      <c r="Z2" s="78" t="s">
        <v>126</v>
      </c>
      <c r="AA2" s="78" t="s">
        <v>127</v>
      </c>
      <c r="AB2" s="53" t="s">
        <v>128</v>
      </c>
      <c r="AC2" s="78" t="s">
        <v>125</v>
      </c>
      <c r="AD2" s="78" t="s">
        <v>126</v>
      </c>
      <c r="AE2" s="169" t="s">
        <v>127</v>
      </c>
      <c r="AF2" s="170" t="s">
        <v>131</v>
      </c>
      <c r="AG2" s="108" t="s">
        <v>132</v>
      </c>
      <c r="AH2" s="108" t="s">
        <v>135</v>
      </c>
      <c r="AI2" s="108" t="s">
        <v>138</v>
      </c>
      <c r="AJ2" s="20" t="s">
        <v>139</v>
      </c>
      <c r="AK2" s="108" t="s">
        <v>132</v>
      </c>
      <c r="AL2" s="108" t="s">
        <v>135</v>
      </c>
      <c r="AM2" s="108" t="s">
        <v>138</v>
      </c>
      <c r="AN2" s="20" t="s">
        <v>141</v>
      </c>
      <c r="AO2" s="171" t="s">
        <v>142</v>
      </c>
      <c r="AP2" s="172" t="s">
        <v>144</v>
      </c>
      <c r="AQ2" s="20" t="s">
        <v>145</v>
      </c>
      <c r="AR2" s="20" t="s">
        <v>146</v>
      </c>
      <c r="AS2" s="173" t="s">
        <v>147</v>
      </c>
      <c r="AT2" s="170" t="s">
        <v>149</v>
      </c>
      <c r="AU2" s="20" t="s">
        <v>151</v>
      </c>
      <c r="AV2" s="20" t="s">
        <v>152</v>
      </c>
      <c r="AW2" s="20" t="s">
        <v>153</v>
      </c>
      <c r="AX2" s="20" t="s">
        <v>154</v>
      </c>
      <c r="AY2" s="163" t="s">
        <v>155</v>
      </c>
      <c r="AZ2" s="168" t="s">
        <v>158</v>
      </c>
      <c r="BA2" s="53" t="s">
        <v>159</v>
      </c>
      <c r="BB2" s="78" t="s">
        <v>160</v>
      </c>
      <c r="BC2" s="78" t="s">
        <v>161</v>
      </c>
      <c r="BD2" s="78" t="s">
        <v>163</v>
      </c>
      <c r="BE2" s="78" t="s">
        <v>164</v>
      </c>
      <c r="BF2" s="165" t="s">
        <v>165</v>
      </c>
      <c r="BG2" s="166" t="s">
        <v>167</v>
      </c>
      <c r="BH2" s="53" t="s">
        <v>168</v>
      </c>
      <c r="BI2" s="174" t="s">
        <v>169</v>
      </c>
      <c r="BJ2" s="166" t="s">
        <v>171</v>
      </c>
      <c r="BK2" s="174" t="s">
        <v>172</v>
      </c>
      <c r="BL2" s="166" t="s">
        <v>174</v>
      </c>
      <c r="BM2" s="53" t="s">
        <v>176</v>
      </c>
      <c r="BN2" s="53" t="s">
        <v>177</v>
      </c>
      <c r="BO2" s="53" t="s">
        <v>178</v>
      </c>
      <c r="BP2" s="53" t="s">
        <v>179</v>
      </c>
      <c r="BQ2" s="53" t="s">
        <v>180</v>
      </c>
      <c r="BR2" s="174" t="s">
        <v>181</v>
      </c>
      <c r="BS2" s="168" t="s">
        <v>183</v>
      </c>
      <c r="BT2" s="53" t="s">
        <v>184</v>
      </c>
      <c r="BU2" s="53" t="s">
        <v>185</v>
      </c>
      <c r="BV2" s="53" t="s">
        <v>186</v>
      </c>
      <c r="BW2" s="53" t="s">
        <v>187</v>
      </c>
      <c r="BX2" s="53" t="s">
        <v>188</v>
      </c>
      <c r="BY2" s="175" t="s">
        <v>189</v>
      </c>
      <c r="BZ2" s="176" t="s">
        <v>192</v>
      </c>
      <c r="CA2" s="172" t="s">
        <v>195</v>
      </c>
      <c r="CB2" s="20" t="s">
        <v>197</v>
      </c>
      <c r="CC2" s="108" t="s">
        <v>236</v>
      </c>
      <c r="CD2" s="201" t="s">
        <v>237</v>
      </c>
      <c r="CE2" s="201" t="s">
        <v>238</v>
      </c>
      <c r="CF2" s="108" t="s">
        <v>202</v>
      </c>
      <c r="CG2" s="108" t="s">
        <v>203</v>
      </c>
      <c r="CH2" s="20" t="s">
        <v>204</v>
      </c>
      <c r="CI2" s="108" t="s">
        <v>206</v>
      </c>
      <c r="CJ2" s="177" t="s">
        <v>207</v>
      </c>
      <c r="CK2" s="172" t="s">
        <v>209</v>
      </c>
      <c r="CL2" s="20" t="s">
        <v>197</v>
      </c>
      <c r="CM2" s="108" t="s">
        <v>239</v>
      </c>
      <c r="CN2" s="201" t="s">
        <v>240</v>
      </c>
      <c r="CO2" s="108" t="s">
        <v>210</v>
      </c>
      <c r="CP2" s="108" t="s">
        <v>203</v>
      </c>
      <c r="CQ2" s="20" t="s">
        <v>204</v>
      </c>
      <c r="CR2" s="108" t="s">
        <v>206</v>
      </c>
      <c r="CS2" s="177" t="s">
        <v>207</v>
      </c>
      <c r="CT2" s="172" t="s">
        <v>211</v>
      </c>
      <c r="CU2" s="108" t="s">
        <v>213</v>
      </c>
      <c r="CV2" s="177" t="s">
        <v>215</v>
      </c>
      <c r="CW2" s="172" t="s">
        <v>217</v>
      </c>
      <c r="CX2" s="20" t="s">
        <v>218</v>
      </c>
      <c r="CY2" s="20" t="s">
        <v>219</v>
      </c>
      <c r="CZ2" s="173" t="s">
        <v>220</v>
      </c>
      <c r="DA2" s="172" t="s">
        <v>222</v>
      </c>
      <c r="DB2" s="108" t="s">
        <v>213</v>
      </c>
      <c r="DC2" s="177" t="s">
        <v>215</v>
      </c>
      <c r="DD2" s="170" t="s">
        <v>217</v>
      </c>
      <c r="DE2" s="20" t="s">
        <v>218</v>
      </c>
      <c r="DF2" s="20" t="s">
        <v>219</v>
      </c>
      <c r="DG2" s="163" t="s">
        <v>220</v>
      </c>
      <c r="DH2" s="168" t="s">
        <v>78</v>
      </c>
      <c r="DI2" s="53" t="s">
        <v>225</v>
      </c>
      <c r="DJ2" s="53" t="s">
        <v>229</v>
      </c>
      <c r="DK2" s="165" t="s">
        <v>230</v>
      </c>
      <c r="DL2" s="166" t="s">
        <v>232</v>
      </c>
      <c r="DM2" s="78" t="s">
        <v>174</v>
      </c>
      <c r="DN2" s="78" t="s">
        <v>176</v>
      </c>
      <c r="DO2" s="78" t="s">
        <v>177</v>
      </c>
      <c r="DP2" s="78" t="s">
        <v>178</v>
      </c>
      <c r="DQ2" s="78" t="s">
        <v>179</v>
      </c>
      <c r="DR2" s="78" t="s">
        <v>180</v>
      </c>
      <c r="DS2" s="78" t="s">
        <v>181</v>
      </c>
      <c r="DT2" s="53" t="s">
        <v>235</v>
      </c>
      <c r="DU2" s="78" t="s">
        <v>183</v>
      </c>
      <c r="DV2" s="78" t="s">
        <v>184</v>
      </c>
      <c r="DW2" s="78" t="s">
        <v>185</v>
      </c>
      <c r="DX2" s="78" t="s">
        <v>186</v>
      </c>
      <c r="DY2" s="78" t="s">
        <v>187</v>
      </c>
      <c r="DZ2" s="78" t="s">
        <v>188</v>
      </c>
      <c r="EA2" s="78" t="s">
        <v>189</v>
      </c>
    </row>
    <row r="3" customFormat="false" ht="13.8" hidden="false" customHeight="false" outlineLevel="0" collapsed="false">
      <c r="A3" s="23" t="s">
        <v>29</v>
      </c>
      <c r="B3" s="178" t="s">
        <v>38</v>
      </c>
      <c r="C3" s="39" t="s">
        <v>60</v>
      </c>
      <c r="D3" s="23" t="s">
        <v>13</v>
      </c>
      <c r="E3" s="23" t="n">
        <v>7.240512</v>
      </c>
      <c r="F3" s="179" t="n">
        <v>43.689186</v>
      </c>
      <c r="G3" s="180" t="s">
        <v>0</v>
      </c>
      <c r="H3" s="56" t="n">
        <v>129</v>
      </c>
      <c r="I3" s="56" t="s">
        <v>81</v>
      </c>
      <c r="J3" s="56" t="s">
        <v>84</v>
      </c>
      <c r="K3" s="56" t="s">
        <v>87</v>
      </c>
      <c r="L3" s="56" t="s">
        <v>94</v>
      </c>
      <c r="M3" s="56" t="s">
        <v>81</v>
      </c>
      <c r="N3" s="56" t="s">
        <v>81</v>
      </c>
      <c r="O3" s="181" t="s">
        <v>105</v>
      </c>
      <c r="P3" s="182"/>
      <c r="Q3" s="76"/>
      <c r="R3" s="76"/>
      <c r="S3" s="56" t="s">
        <v>81</v>
      </c>
      <c r="T3" s="76"/>
      <c r="U3" s="76"/>
      <c r="V3" s="76"/>
      <c r="W3" s="183"/>
      <c r="X3" s="184"/>
      <c r="Y3" s="56"/>
      <c r="Z3" s="56"/>
      <c r="AA3" s="56"/>
      <c r="AB3" s="56"/>
      <c r="AC3" s="56"/>
      <c r="AD3" s="56"/>
      <c r="AE3" s="185"/>
      <c r="AF3" s="186" t="n">
        <v>0</v>
      </c>
      <c r="AG3" s="23" t="s">
        <v>81</v>
      </c>
      <c r="AH3" s="23" t="s">
        <v>81</v>
      </c>
      <c r="AI3" s="23" t="s">
        <v>81</v>
      </c>
      <c r="AJ3" s="110" t="n">
        <v>0</v>
      </c>
      <c r="AK3" s="23" t="s">
        <v>56</v>
      </c>
      <c r="AL3" s="23" t="s">
        <v>56</v>
      </c>
      <c r="AM3" s="23" t="s">
        <v>56</v>
      </c>
      <c r="AN3" s="23" t="s">
        <v>81</v>
      </c>
      <c r="AO3" s="178" t="s">
        <v>81</v>
      </c>
      <c r="AP3" s="187" t="n">
        <v>4</v>
      </c>
      <c r="AQ3" s="23" t="n">
        <v>0</v>
      </c>
      <c r="AR3" s="23" t="n">
        <v>0</v>
      </c>
      <c r="AS3" s="188" t="n">
        <v>0</v>
      </c>
      <c r="AT3" s="189" t="s">
        <v>26</v>
      </c>
      <c r="AU3" s="23" t="s">
        <v>26</v>
      </c>
      <c r="AV3" s="23" t="s">
        <v>26</v>
      </c>
      <c r="AW3" s="23" t="s">
        <v>26</v>
      </c>
      <c r="AX3" s="23" t="s">
        <v>81</v>
      </c>
      <c r="AY3" s="190" t="s">
        <v>26</v>
      </c>
      <c r="AZ3" s="184"/>
      <c r="BA3" s="128"/>
      <c r="BB3" s="56" t="s">
        <v>82</v>
      </c>
      <c r="BC3" s="56" t="s">
        <v>82</v>
      </c>
      <c r="BD3" s="56" t="s">
        <v>162</v>
      </c>
      <c r="BE3" s="56" t="s">
        <v>82</v>
      </c>
      <c r="BF3" s="191"/>
      <c r="BG3" s="192"/>
      <c r="BH3" s="56"/>
      <c r="BI3" s="193"/>
      <c r="BJ3" s="192"/>
      <c r="BK3" s="193"/>
      <c r="BL3" s="192" t="s">
        <v>162</v>
      </c>
      <c r="BM3" s="56"/>
      <c r="BN3" s="56" t="s">
        <v>162</v>
      </c>
      <c r="BO3" s="56" t="s">
        <v>162</v>
      </c>
      <c r="BP3" s="56" t="s">
        <v>162</v>
      </c>
      <c r="BQ3" s="56" t="s">
        <v>162</v>
      </c>
      <c r="BR3" s="193"/>
      <c r="BS3" s="56" t="s">
        <v>162</v>
      </c>
      <c r="BT3" s="56" t="s">
        <v>162</v>
      </c>
      <c r="BU3" s="56"/>
      <c r="BV3" s="56" t="s">
        <v>162</v>
      </c>
      <c r="BW3" s="56" t="s">
        <v>162</v>
      </c>
      <c r="BX3" s="56" t="s">
        <v>162</v>
      </c>
      <c r="BY3" s="185" t="s">
        <v>162</v>
      </c>
      <c r="BZ3" s="194" t="s">
        <v>26</v>
      </c>
      <c r="CA3" s="187" t="s">
        <v>26</v>
      </c>
      <c r="CB3" s="128"/>
      <c r="CC3" s="23" t="s">
        <v>23</v>
      </c>
      <c r="CD3" s="23" t="s">
        <v>23</v>
      </c>
      <c r="CE3" s="23" t="s">
        <v>26</v>
      </c>
      <c r="CF3" s="23" t="s">
        <v>23</v>
      </c>
      <c r="CG3" s="23" t="s">
        <v>23</v>
      </c>
      <c r="CH3" s="128"/>
      <c r="CI3" s="76"/>
      <c r="CJ3" s="183"/>
      <c r="CK3" s="187" t="s">
        <v>23</v>
      </c>
      <c r="CL3" s="128"/>
      <c r="CM3" s="23" t="s">
        <v>23</v>
      </c>
      <c r="CN3" s="23" t="s">
        <v>26</v>
      </c>
      <c r="CO3" s="23" t="s">
        <v>23</v>
      </c>
      <c r="CP3" s="23" t="s">
        <v>23</v>
      </c>
      <c r="CQ3" s="128"/>
      <c r="CR3" s="76"/>
      <c r="CS3" s="183"/>
      <c r="CT3" s="187" t="s">
        <v>81</v>
      </c>
      <c r="CU3" s="23" t="n">
        <v>3</v>
      </c>
      <c r="CV3" s="188" t="n">
        <v>6</v>
      </c>
      <c r="CW3" s="187"/>
      <c r="CX3" s="23"/>
      <c r="CY3" s="23"/>
      <c r="CZ3" s="188"/>
      <c r="DA3" s="187"/>
      <c r="DB3" s="23"/>
      <c r="DC3" s="188"/>
      <c r="DD3" s="189"/>
      <c r="DE3" s="23"/>
      <c r="DF3" s="23"/>
      <c r="DG3" s="190"/>
      <c r="DH3" s="184" t="n">
        <v>129</v>
      </c>
      <c r="DI3" s="56"/>
      <c r="DJ3" s="56"/>
      <c r="DK3" s="181" t="n">
        <v>6</v>
      </c>
      <c r="DL3" s="195" t="n">
        <f aca="false">SUM(DM3:DS3)</f>
        <v>0.65</v>
      </c>
      <c r="DM3" s="77" t="n">
        <v>0.58</v>
      </c>
      <c r="DN3" s="77" t="n">
        <v>0</v>
      </c>
      <c r="DO3" s="77" t="n">
        <v>0.04</v>
      </c>
      <c r="DP3" s="77" t="n">
        <v>0.02</v>
      </c>
      <c r="DQ3" s="77" t="n">
        <v>0.01</v>
      </c>
      <c r="DR3" s="77" t="n">
        <v>0</v>
      </c>
      <c r="DS3" s="77" t="n">
        <v>0</v>
      </c>
      <c r="DT3" s="196" t="n">
        <f aca="false">SUM(DU3:EA3)</f>
        <v>0.36</v>
      </c>
      <c r="DU3" s="77" t="n">
        <v>0.01</v>
      </c>
      <c r="DV3" s="77" t="n">
        <v>0</v>
      </c>
      <c r="DW3" s="77" t="n">
        <v>0.01</v>
      </c>
      <c r="DX3" s="77" t="n">
        <v>0</v>
      </c>
      <c r="DY3" s="77" t="n">
        <v>0.09</v>
      </c>
      <c r="DZ3" s="77" t="n">
        <v>0.25</v>
      </c>
      <c r="EA3" s="77" t="n">
        <v>0</v>
      </c>
    </row>
    <row r="4" customFormat="false" ht="13.8" hidden="false" customHeight="false" outlineLevel="0" collapsed="false">
      <c r="A4" s="23" t="s">
        <v>30</v>
      </c>
      <c r="B4" s="178" t="s">
        <v>39</v>
      </c>
      <c r="C4" s="39" t="s">
        <v>61</v>
      </c>
      <c r="D4" s="23" t="s">
        <v>14</v>
      </c>
      <c r="E4" s="23" t="n">
        <v>7.754599</v>
      </c>
      <c r="F4" s="179" t="n">
        <v>48.591522</v>
      </c>
      <c r="G4" s="180" t="s">
        <v>0</v>
      </c>
      <c r="H4" s="56" t="n">
        <v>97</v>
      </c>
      <c r="I4" s="56" t="n">
        <v>2020</v>
      </c>
      <c r="J4" s="56" t="s">
        <v>84</v>
      </c>
      <c r="K4" s="56" t="s">
        <v>88</v>
      </c>
      <c r="L4" s="56" t="s">
        <v>95</v>
      </c>
      <c r="M4" s="56" t="n">
        <v>2025</v>
      </c>
      <c r="N4" s="56" t="n">
        <v>2025</v>
      </c>
      <c r="O4" s="181" t="s">
        <v>106</v>
      </c>
      <c r="P4" s="182"/>
      <c r="Q4" s="76"/>
      <c r="R4" s="76"/>
      <c r="S4" s="77" t="n">
        <v>0.7</v>
      </c>
      <c r="T4" s="56" t="s">
        <v>116</v>
      </c>
      <c r="U4" s="77" t="n">
        <v>0.6</v>
      </c>
      <c r="V4" s="56" t="s">
        <v>119</v>
      </c>
      <c r="W4" s="197" t="n">
        <v>0.8</v>
      </c>
      <c r="X4" s="184"/>
      <c r="Y4" s="56"/>
      <c r="Z4" s="56"/>
      <c r="AA4" s="56"/>
      <c r="AB4" s="56"/>
      <c r="AC4" s="56"/>
      <c r="AD4" s="56"/>
      <c r="AE4" s="185"/>
      <c r="AF4" s="198" t="n">
        <v>0</v>
      </c>
      <c r="AG4" s="76" t="s">
        <v>133</v>
      </c>
      <c r="AH4" s="76" t="s">
        <v>136</v>
      </c>
      <c r="AI4" s="76" t="s">
        <v>137</v>
      </c>
      <c r="AJ4" s="110" t="n">
        <v>0</v>
      </c>
      <c r="AK4" s="23" t="s">
        <v>56</v>
      </c>
      <c r="AL4" s="23" t="s">
        <v>56</v>
      </c>
      <c r="AM4" s="23" t="s">
        <v>56</v>
      </c>
      <c r="AN4" s="23" t="s">
        <v>23</v>
      </c>
      <c r="AO4" s="178" t="s">
        <v>26</v>
      </c>
      <c r="AP4" s="187" t="n">
        <v>0</v>
      </c>
      <c r="AQ4" s="23" t="n">
        <v>0</v>
      </c>
      <c r="AR4" s="23" t="n">
        <v>0</v>
      </c>
      <c r="AS4" s="188" t="n">
        <v>0</v>
      </c>
      <c r="AT4" s="189" t="s">
        <v>23</v>
      </c>
      <c r="AU4" s="23" t="s">
        <v>23</v>
      </c>
      <c r="AV4" s="23" t="s">
        <v>26</v>
      </c>
      <c r="AW4" s="23" t="s">
        <v>26</v>
      </c>
      <c r="AX4" s="23" t="s">
        <v>23</v>
      </c>
      <c r="AY4" s="190" t="s">
        <v>26</v>
      </c>
      <c r="AZ4" s="199" t="n">
        <v>0.6</v>
      </c>
      <c r="BA4" s="129"/>
      <c r="BB4" s="56" t="s">
        <v>82</v>
      </c>
      <c r="BC4" s="56" t="s">
        <v>82</v>
      </c>
      <c r="BD4" s="56" t="s">
        <v>162</v>
      </c>
      <c r="BE4" s="56" t="s">
        <v>82</v>
      </c>
      <c r="BF4" s="191"/>
      <c r="BG4" s="200" t="n">
        <v>0.4</v>
      </c>
      <c r="BH4" s="77"/>
      <c r="BI4" s="197"/>
      <c r="BJ4" s="200" t="n">
        <v>0.6</v>
      </c>
      <c r="BK4" s="197" t="n">
        <v>0.4</v>
      </c>
      <c r="BL4" s="192" t="s">
        <v>162</v>
      </c>
      <c r="BM4" s="56"/>
      <c r="BN4" s="56" t="s">
        <v>162</v>
      </c>
      <c r="BO4" s="56" t="s">
        <v>162</v>
      </c>
      <c r="BP4" s="56" t="s">
        <v>162</v>
      </c>
      <c r="BQ4" s="56" t="s">
        <v>162</v>
      </c>
      <c r="BR4" s="193"/>
      <c r="BS4" s="56" t="s">
        <v>162</v>
      </c>
      <c r="BT4" s="56" t="s">
        <v>162</v>
      </c>
      <c r="BU4" s="56"/>
      <c r="BV4" s="56"/>
      <c r="BW4" s="56"/>
      <c r="BX4" s="56"/>
      <c r="BY4" s="185"/>
      <c r="BZ4" s="194" t="s">
        <v>26</v>
      </c>
      <c r="CA4" s="187" t="s">
        <v>26</v>
      </c>
      <c r="CB4" s="128"/>
      <c r="CC4" s="23" t="s">
        <v>26</v>
      </c>
      <c r="CD4" s="23" t="s">
        <v>26</v>
      </c>
      <c r="CE4" s="23" t="s">
        <v>26</v>
      </c>
      <c r="CF4" s="23" t="s">
        <v>23</v>
      </c>
      <c r="CG4" s="23" t="s">
        <v>23</v>
      </c>
      <c r="CH4" s="128"/>
      <c r="CI4" s="23" t="s">
        <v>162</v>
      </c>
      <c r="CJ4" s="188"/>
      <c r="CK4" s="187" t="s">
        <v>23</v>
      </c>
      <c r="CL4" s="128"/>
      <c r="CM4" s="23" t="s">
        <v>26</v>
      </c>
      <c r="CN4" s="23" t="s">
        <v>26</v>
      </c>
      <c r="CO4" s="23" t="s">
        <v>23</v>
      </c>
      <c r="CP4" s="23" t="s">
        <v>23</v>
      </c>
      <c r="CQ4" s="128"/>
      <c r="CR4" s="23" t="s">
        <v>162</v>
      </c>
      <c r="CS4" s="188"/>
      <c r="CT4" s="187" t="s">
        <v>81</v>
      </c>
      <c r="CU4" s="23" t="n">
        <v>2</v>
      </c>
      <c r="CV4" s="188" t="n">
        <v>2</v>
      </c>
      <c r="CW4" s="187"/>
      <c r="CX4" s="23"/>
      <c r="CY4" s="23"/>
      <c r="CZ4" s="188"/>
      <c r="DA4" s="187" t="n">
        <v>100</v>
      </c>
      <c r="DB4" s="23" t="n">
        <v>3</v>
      </c>
      <c r="DC4" s="188" t="n">
        <v>3</v>
      </c>
      <c r="DD4" s="189" t="s">
        <v>26</v>
      </c>
      <c r="DE4" s="23" t="s">
        <v>26</v>
      </c>
      <c r="DF4" s="23" t="s">
        <v>26</v>
      </c>
      <c r="DG4" s="190" t="s">
        <v>26</v>
      </c>
      <c r="DH4" s="184" t="n">
        <v>97</v>
      </c>
      <c r="DI4" s="56" t="s">
        <v>227</v>
      </c>
      <c r="DJ4" s="77" t="n">
        <v>0.7</v>
      </c>
      <c r="DK4" s="181" t="n">
        <v>2</v>
      </c>
      <c r="DL4" s="195" t="n">
        <f aca="false">SUM(DM4:DS4)</f>
        <v>1</v>
      </c>
      <c r="DM4" s="77" t="n">
        <v>0.63</v>
      </c>
      <c r="DN4" s="77" t="n">
        <v>0</v>
      </c>
      <c r="DO4" s="77" t="n">
        <v>0.06</v>
      </c>
      <c r="DP4" s="77" t="n">
        <v>0.08</v>
      </c>
      <c r="DQ4" s="77" t="n">
        <v>0.22</v>
      </c>
      <c r="DR4" s="77" t="n">
        <v>0.01</v>
      </c>
      <c r="DS4" s="77" t="n">
        <v>0</v>
      </c>
      <c r="DT4" s="196" t="n">
        <f aca="false">SUM(DU4:EA4)</f>
        <v>0</v>
      </c>
      <c r="DU4" s="77" t="n">
        <v>0</v>
      </c>
      <c r="DV4" s="77" t="n">
        <v>0</v>
      </c>
      <c r="DW4" s="77" t="n">
        <v>0</v>
      </c>
      <c r="DX4" s="77" t="n">
        <v>0</v>
      </c>
      <c r="DY4" s="77" t="n">
        <v>0</v>
      </c>
      <c r="DZ4" s="77" t="n">
        <v>0</v>
      </c>
      <c r="EA4" s="77" t="n">
        <v>0</v>
      </c>
    </row>
    <row r="5" customFormat="false" ht="13.8" hidden="false" customHeight="false" outlineLevel="0" collapsed="false">
      <c r="A5" s="23" t="s">
        <v>31</v>
      </c>
      <c r="B5" s="178" t="s">
        <v>40</v>
      </c>
      <c r="C5" s="39" t="s">
        <v>62</v>
      </c>
      <c r="D5" s="23" t="s">
        <v>68</v>
      </c>
      <c r="E5" s="23" t="n">
        <v>2.519843</v>
      </c>
      <c r="F5" s="179" t="n">
        <v>49.006733</v>
      </c>
      <c r="G5" s="180" t="s">
        <v>1</v>
      </c>
      <c r="H5" s="56" t="n">
        <v>309</v>
      </c>
      <c r="I5" s="56" t="n">
        <v>2015</v>
      </c>
      <c r="J5" s="56" t="s">
        <v>84</v>
      </c>
      <c r="K5" s="56" t="s">
        <v>89</v>
      </c>
      <c r="L5" s="56" t="s">
        <v>96</v>
      </c>
      <c r="M5" s="56" t="n">
        <v>2015</v>
      </c>
      <c r="N5" s="56" t="n">
        <v>2015</v>
      </c>
      <c r="O5" s="181" t="s">
        <v>105</v>
      </c>
      <c r="P5" s="182"/>
      <c r="Q5" s="76"/>
      <c r="R5" s="76"/>
      <c r="S5" s="77" t="n">
        <v>0.95</v>
      </c>
      <c r="T5" s="56" t="s">
        <v>116</v>
      </c>
      <c r="U5" s="77" t="n">
        <v>0.91</v>
      </c>
      <c r="V5" s="56" t="s">
        <v>120</v>
      </c>
      <c r="W5" s="197" t="n">
        <v>0.98</v>
      </c>
      <c r="X5" s="184"/>
      <c r="Y5" s="56"/>
      <c r="Z5" s="56"/>
      <c r="AA5" s="56"/>
      <c r="AB5" s="56"/>
      <c r="AC5" s="56"/>
      <c r="AD5" s="56"/>
      <c r="AE5" s="185"/>
      <c r="AF5" s="186" t="n">
        <v>1</v>
      </c>
      <c r="AG5" s="23" t="s">
        <v>134</v>
      </c>
      <c r="AH5" s="23" t="s">
        <v>137</v>
      </c>
      <c r="AI5" s="23" t="s">
        <v>137</v>
      </c>
      <c r="AJ5" s="110" t="n">
        <v>1</v>
      </c>
      <c r="AK5" s="23" t="s">
        <v>140</v>
      </c>
      <c r="AL5" s="23" t="s">
        <v>137</v>
      </c>
      <c r="AM5" s="23" t="s">
        <v>137</v>
      </c>
      <c r="AN5" s="23" t="s">
        <v>23</v>
      </c>
      <c r="AO5" s="178" t="s">
        <v>23</v>
      </c>
      <c r="AP5" s="187" t="n">
        <v>1</v>
      </c>
      <c r="AQ5" s="23" t="n">
        <v>0</v>
      </c>
      <c r="AR5" s="23" t="n">
        <v>0</v>
      </c>
      <c r="AS5" s="188" t="n">
        <v>0</v>
      </c>
      <c r="AT5" s="189" t="s">
        <v>23</v>
      </c>
      <c r="AU5" s="23" t="s">
        <v>26</v>
      </c>
      <c r="AV5" s="23" t="s">
        <v>26</v>
      </c>
      <c r="AW5" s="23" t="s">
        <v>26</v>
      </c>
      <c r="AX5" s="23" t="s">
        <v>26</v>
      </c>
      <c r="AY5" s="190" t="s">
        <v>26</v>
      </c>
      <c r="AZ5" s="184" t="n">
        <v>80</v>
      </c>
      <c r="BA5" s="128"/>
      <c r="BB5" s="56" t="s">
        <v>82</v>
      </c>
      <c r="BC5" s="56" t="s">
        <v>82</v>
      </c>
      <c r="BD5" s="56" t="s">
        <v>82</v>
      </c>
      <c r="BE5" s="56" t="s">
        <v>162</v>
      </c>
      <c r="BF5" s="191"/>
      <c r="BG5" s="192" t="n">
        <v>20</v>
      </c>
      <c r="BH5" s="56"/>
      <c r="BI5" s="193"/>
      <c r="BJ5" s="192" t="n">
        <v>70</v>
      </c>
      <c r="BK5" s="193" t="n">
        <v>30</v>
      </c>
      <c r="BL5" s="192" t="s">
        <v>162</v>
      </c>
      <c r="BM5" s="56" t="s">
        <v>162</v>
      </c>
      <c r="BN5" s="56" t="s">
        <v>162</v>
      </c>
      <c r="BO5" s="56" t="s">
        <v>162</v>
      </c>
      <c r="BP5" s="56" t="s">
        <v>162</v>
      </c>
      <c r="BQ5" s="56" t="s">
        <v>162</v>
      </c>
      <c r="BR5" s="193"/>
      <c r="BS5" s="56" t="s">
        <v>162</v>
      </c>
      <c r="BT5" s="56" t="s">
        <v>162</v>
      </c>
      <c r="BU5" s="56"/>
      <c r="BV5" s="56"/>
      <c r="BW5" s="56"/>
      <c r="BX5" s="56"/>
      <c r="BY5" s="185" t="s">
        <v>162</v>
      </c>
      <c r="BZ5" s="194" t="s">
        <v>26</v>
      </c>
      <c r="CA5" s="187" t="s">
        <v>26</v>
      </c>
      <c r="CB5" s="128"/>
      <c r="CC5" s="23" t="s">
        <v>26</v>
      </c>
      <c r="CD5" s="23" t="s">
        <v>26</v>
      </c>
      <c r="CE5" s="23" t="s">
        <v>26</v>
      </c>
      <c r="CF5" s="23" t="s">
        <v>23</v>
      </c>
      <c r="CG5" s="23" t="s">
        <v>23</v>
      </c>
      <c r="CH5" s="128"/>
      <c r="CI5" s="23" t="s">
        <v>162</v>
      </c>
      <c r="CJ5" s="188"/>
      <c r="CK5" s="187" t="s">
        <v>26</v>
      </c>
      <c r="CL5" s="128"/>
      <c r="CM5" s="23" t="s">
        <v>26</v>
      </c>
      <c r="CN5" s="23" t="s">
        <v>26</v>
      </c>
      <c r="CO5" s="23" t="s">
        <v>23</v>
      </c>
      <c r="CP5" s="23" t="s">
        <v>23</v>
      </c>
      <c r="CQ5" s="128"/>
      <c r="CR5" s="23" t="s">
        <v>162</v>
      </c>
      <c r="CS5" s="188"/>
      <c r="CT5" s="187" t="s">
        <v>81</v>
      </c>
      <c r="CU5" s="23"/>
      <c r="CV5" s="188"/>
      <c r="CW5" s="187"/>
      <c r="CX5" s="23"/>
      <c r="CY5" s="23"/>
      <c r="CZ5" s="188"/>
      <c r="DA5" s="187"/>
      <c r="DB5" s="23"/>
      <c r="DC5" s="188"/>
      <c r="DD5" s="189"/>
      <c r="DE5" s="23"/>
      <c r="DF5" s="23"/>
      <c r="DG5" s="190"/>
      <c r="DH5" s="184" t="n">
        <v>309</v>
      </c>
      <c r="DI5" s="56" t="s">
        <v>228</v>
      </c>
      <c r="DJ5" s="77" t="n">
        <v>0.95</v>
      </c>
      <c r="DK5" s="181" t="n">
        <v>5</v>
      </c>
      <c r="DL5" s="195" t="n">
        <f aca="false">SUM(DM5:DS5)</f>
        <v>0</v>
      </c>
      <c r="DM5" s="77"/>
      <c r="DN5" s="77"/>
      <c r="DO5" s="77"/>
      <c r="DP5" s="77"/>
      <c r="DQ5" s="77"/>
      <c r="DR5" s="77"/>
      <c r="DS5" s="77"/>
      <c r="DT5" s="196" t="n">
        <f aca="false">SUM(DU5:EA5)</f>
        <v>0</v>
      </c>
      <c r="DU5" s="77"/>
      <c r="DV5" s="77"/>
      <c r="DW5" s="77"/>
      <c r="DX5" s="77"/>
      <c r="DY5" s="77"/>
      <c r="DZ5" s="77"/>
      <c r="EA5" s="77"/>
    </row>
    <row r="6" customFormat="false" ht="13.8" hidden="false" customHeight="false" outlineLevel="0" collapsed="false">
      <c r="A6" s="23" t="s">
        <v>32</v>
      </c>
      <c r="B6" s="178" t="s">
        <v>41</v>
      </c>
      <c r="C6" s="39" t="s">
        <v>63</v>
      </c>
      <c r="D6" s="23" t="s">
        <v>16</v>
      </c>
      <c r="E6" s="23" t="n">
        <v>6.6190552711</v>
      </c>
      <c r="F6" s="179" t="n">
        <v>45.8591651916</v>
      </c>
      <c r="G6" s="180" t="s">
        <v>2</v>
      </c>
      <c r="H6" s="56" t="n">
        <v>572</v>
      </c>
      <c r="I6" s="56" t="s">
        <v>81</v>
      </c>
      <c r="J6" s="56" t="s">
        <v>84</v>
      </c>
      <c r="K6" s="56" t="s">
        <v>90</v>
      </c>
      <c r="L6" s="56" t="s">
        <v>97</v>
      </c>
      <c r="M6" s="56" t="s">
        <v>81</v>
      </c>
      <c r="N6" s="56" t="s">
        <v>81</v>
      </c>
      <c r="O6" s="181" t="s">
        <v>105</v>
      </c>
      <c r="P6" s="182"/>
      <c r="Q6" s="76"/>
      <c r="R6" s="76"/>
      <c r="S6" s="56" t="s">
        <v>81</v>
      </c>
      <c r="T6" s="76"/>
      <c r="U6" s="76"/>
      <c r="V6" s="76"/>
      <c r="W6" s="183"/>
      <c r="X6" s="184"/>
      <c r="Y6" s="56"/>
      <c r="Z6" s="56"/>
      <c r="AA6" s="56"/>
      <c r="AB6" s="56"/>
      <c r="AC6" s="56"/>
      <c r="AD6" s="56"/>
      <c r="AE6" s="185"/>
      <c r="AF6" s="186" t="n">
        <v>1</v>
      </c>
      <c r="AG6" s="23" t="s">
        <v>81</v>
      </c>
      <c r="AH6" s="23" t="s">
        <v>81</v>
      </c>
      <c r="AI6" s="23" t="s">
        <v>81</v>
      </c>
      <c r="AJ6" s="110" t="n">
        <v>1</v>
      </c>
      <c r="AK6" s="23" t="s">
        <v>81</v>
      </c>
      <c r="AL6" s="23" t="s">
        <v>81</v>
      </c>
      <c r="AM6" s="23" t="s">
        <v>81</v>
      </c>
      <c r="AN6" s="23" t="s">
        <v>81</v>
      </c>
      <c r="AO6" s="178" t="s">
        <v>81</v>
      </c>
      <c r="AP6" s="187" t="n">
        <v>3</v>
      </c>
      <c r="AQ6" s="23" t="n">
        <v>2</v>
      </c>
      <c r="AR6" s="23" t="n">
        <v>0</v>
      </c>
      <c r="AS6" s="188" t="n">
        <v>1</v>
      </c>
      <c r="AT6" s="189" t="s">
        <v>23</v>
      </c>
      <c r="AU6" s="23" t="s">
        <v>23</v>
      </c>
      <c r="AV6" s="23" t="s">
        <v>23</v>
      </c>
      <c r="AW6" s="23" t="s">
        <v>23</v>
      </c>
      <c r="AX6" s="23" t="s">
        <v>23</v>
      </c>
      <c r="AY6" s="190" t="s">
        <v>26</v>
      </c>
      <c r="AZ6" s="184"/>
      <c r="BA6" s="128"/>
      <c r="BB6" s="56" t="s">
        <v>82</v>
      </c>
      <c r="BC6" s="56" t="s">
        <v>82</v>
      </c>
      <c r="BD6" s="56" t="s">
        <v>82</v>
      </c>
      <c r="BE6" s="56" t="s">
        <v>162</v>
      </c>
      <c r="BF6" s="191"/>
      <c r="BG6" s="192"/>
      <c r="BH6" s="56"/>
      <c r="BI6" s="193"/>
      <c r="BJ6" s="192"/>
      <c r="BK6" s="193"/>
      <c r="BL6" s="192" t="s">
        <v>162</v>
      </c>
      <c r="BM6" s="56" t="s">
        <v>162</v>
      </c>
      <c r="BN6" s="56" t="s">
        <v>162</v>
      </c>
      <c r="BO6" s="56"/>
      <c r="BP6" s="56" t="s">
        <v>162</v>
      </c>
      <c r="BQ6" s="56"/>
      <c r="BR6" s="193" t="s">
        <v>162</v>
      </c>
      <c r="BS6" s="184" t="s">
        <v>162</v>
      </c>
      <c r="BT6" s="56" t="s">
        <v>162</v>
      </c>
      <c r="BU6" s="56" t="s">
        <v>162</v>
      </c>
      <c r="BV6" s="56" t="s">
        <v>162</v>
      </c>
      <c r="BW6" s="56" t="s">
        <v>162</v>
      </c>
      <c r="BX6" s="56" t="s">
        <v>162</v>
      </c>
      <c r="BY6" s="185" t="s">
        <v>162</v>
      </c>
      <c r="BZ6" s="194" t="s">
        <v>23</v>
      </c>
      <c r="CA6" s="187" t="s">
        <v>23</v>
      </c>
      <c r="CB6" s="128"/>
      <c r="CC6" s="23" t="s">
        <v>26</v>
      </c>
      <c r="CD6" s="23" t="s">
        <v>23</v>
      </c>
      <c r="CE6" s="23" t="s">
        <v>23</v>
      </c>
      <c r="CF6" s="23" t="s">
        <v>23</v>
      </c>
      <c r="CG6" s="23" t="s">
        <v>23</v>
      </c>
      <c r="CH6" s="128"/>
      <c r="CI6" s="23" t="s">
        <v>162</v>
      </c>
      <c r="CJ6" s="188"/>
      <c r="CK6" s="187" t="s">
        <v>26</v>
      </c>
      <c r="CL6" s="128"/>
      <c r="CM6" s="23" t="s">
        <v>26</v>
      </c>
      <c r="CN6" s="23" t="s">
        <v>23</v>
      </c>
      <c r="CO6" s="23" t="s">
        <v>23</v>
      </c>
      <c r="CP6" s="23" t="s">
        <v>23</v>
      </c>
      <c r="CQ6" s="128"/>
      <c r="CR6" s="23" t="s">
        <v>162</v>
      </c>
      <c r="CS6" s="188"/>
      <c r="CT6" s="187" t="s">
        <v>81</v>
      </c>
      <c r="CU6" s="23"/>
      <c r="CV6" s="188"/>
      <c r="CW6" s="187"/>
      <c r="CX6" s="23"/>
      <c r="CY6" s="23"/>
      <c r="CZ6" s="188"/>
      <c r="DA6" s="187"/>
      <c r="DB6" s="23"/>
      <c r="DC6" s="188"/>
      <c r="DD6" s="189"/>
      <c r="DE6" s="23"/>
      <c r="DF6" s="23"/>
      <c r="DG6" s="190"/>
      <c r="DH6" s="184" t="n">
        <v>572</v>
      </c>
      <c r="DI6" s="56"/>
      <c r="DJ6" s="56"/>
      <c r="DK6" s="181" t="n">
        <v>8</v>
      </c>
      <c r="DL6" s="195" t="n">
        <f aca="false">SUM(DM6:DS6)</f>
        <v>0.33</v>
      </c>
      <c r="DM6" s="77" t="n">
        <v>0.07</v>
      </c>
      <c r="DN6" s="77" t="n">
        <v>0.01</v>
      </c>
      <c r="DO6" s="77" t="n">
        <v>0.05</v>
      </c>
      <c r="DP6" s="77" t="n">
        <v>0.01</v>
      </c>
      <c r="DQ6" s="77" t="n">
        <v>0.17</v>
      </c>
      <c r="DR6" s="77" t="n">
        <v>0.02</v>
      </c>
      <c r="DS6" s="77" t="n">
        <v>0</v>
      </c>
      <c r="DT6" s="196" t="n">
        <f aca="false">SUM(DU6:EA6)</f>
        <v>0.68</v>
      </c>
      <c r="DU6" s="77" t="n">
        <v>0.11</v>
      </c>
      <c r="DV6" s="77" t="n">
        <v>0</v>
      </c>
      <c r="DW6" s="77" t="n">
        <v>0.07</v>
      </c>
      <c r="DX6" s="77" t="n">
        <v>0.14</v>
      </c>
      <c r="DY6" s="77" t="n">
        <v>0.12</v>
      </c>
      <c r="DZ6" s="77" t="n">
        <v>0.21</v>
      </c>
      <c r="EA6" s="77" t="n">
        <v>0.03</v>
      </c>
    </row>
    <row r="7" customFormat="false" ht="13.8" hidden="false" customHeight="false" outlineLevel="0" collapsed="false">
      <c r="A7" s="23" t="s">
        <v>33</v>
      </c>
      <c r="B7" s="178" t="s">
        <v>42</v>
      </c>
      <c r="C7" s="39" t="s">
        <v>64</v>
      </c>
      <c r="D7" s="23" t="s">
        <v>69</v>
      </c>
      <c r="E7" s="23" t="n">
        <v>2.282836</v>
      </c>
      <c r="F7" s="179" t="n">
        <v>48.849778</v>
      </c>
      <c r="G7" s="180" t="s">
        <v>2</v>
      </c>
      <c r="H7" s="56" t="n">
        <v>764</v>
      </c>
      <c r="I7" s="56" t="n">
        <v>1976</v>
      </c>
      <c r="J7" s="56" t="s">
        <v>85</v>
      </c>
      <c r="K7" s="56" t="s">
        <v>91</v>
      </c>
      <c r="L7" s="56" t="s">
        <v>98</v>
      </c>
      <c r="M7" s="56" t="s">
        <v>81</v>
      </c>
      <c r="N7" s="56" t="s">
        <v>81</v>
      </c>
      <c r="O7" s="181" t="s">
        <v>106</v>
      </c>
      <c r="P7" s="182"/>
      <c r="Q7" s="76"/>
      <c r="R7" s="76"/>
      <c r="S7" s="56" t="s">
        <v>81</v>
      </c>
      <c r="T7" s="76"/>
      <c r="U7" s="76"/>
      <c r="V7" s="76"/>
      <c r="W7" s="183"/>
      <c r="X7" s="184"/>
      <c r="Y7" s="56"/>
      <c r="Z7" s="56"/>
      <c r="AA7" s="56"/>
      <c r="AB7" s="56"/>
      <c r="AC7" s="56"/>
      <c r="AD7" s="56"/>
      <c r="AE7" s="185"/>
      <c r="AF7" s="186" t="n">
        <v>1</v>
      </c>
      <c r="AG7" s="23" t="s">
        <v>81</v>
      </c>
      <c r="AH7" s="23" t="s">
        <v>81</v>
      </c>
      <c r="AI7" s="23" t="s">
        <v>81</v>
      </c>
      <c r="AJ7" s="110" t="n">
        <v>3</v>
      </c>
      <c r="AK7" s="23" t="s">
        <v>81</v>
      </c>
      <c r="AL7" s="23" t="s">
        <v>81</v>
      </c>
      <c r="AM7" s="23" t="s">
        <v>81</v>
      </c>
      <c r="AN7" s="23" t="s">
        <v>81</v>
      </c>
      <c r="AO7" s="178" t="s">
        <v>81</v>
      </c>
      <c r="AP7" s="187" t="n">
        <v>36</v>
      </c>
      <c r="AQ7" s="23" t="n">
        <v>1</v>
      </c>
      <c r="AR7" s="23" t="n">
        <v>0</v>
      </c>
      <c r="AS7" s="188" t="n">
        <v>1</v>
      </c>
      <c r="AT7" s="189" t="s">
        <v>23</v>
      </c>
      <c r="AU7" s="23" t="s">
        <v>23</v>
      </c>
      <c r="AV7" s="23" t="s">
        <v>26</v>
      </c>
      <c r="AW7" s="23" t="s">
        <v>26</v>
      </c>
      <c r="AX7" s="23" t="s">
        <v>23</v>
      </c>
      <c r="AY7" s="190" t="s">
        <v>26</v>
      </c>
      <c r="AZ7" s="184"/>
      <c r="BA7" s="128"/>
      <c r="BB7" s="56" t="s">
        <v>82</v>
      </c>
      <c r="BC7" s="56" t="s">
        <v>82</v>
      </c>
      <c r="BD7" s="56" t="s">
        <v>82</v>
      </c>
      <c r="BE7" s="56" t="s">
        <v>162</v>
      </c>
      <c r="BF7" s="191"/>
      <c r="BG7" s="192"/>
      <c r="BH7" s="56"/>
      <c r="BI7" s="193"/>
      <c r="BJ7" s="192"/>
      <c r="BK7" s="193"/>
      <c r="BL7" s="192" t="s">
        <v>162</v>
      </c>
      <c r="BM7" s="56"/>
      <c r="BN7" s="56" t="s">
        <v>162</v>
      </c>
      <c r="BO7" s="56" t="s">
        <v>162</v>
      </c>
      <c r="BP7" s="56" t="s">
        <v>162</v>
      </c>
      <c r="BQ7" s="56" t="s">
        <v>162</v>
      </c>
      <c r="BR7" s="193" t="s">
        <v>162</v>
      </c>
      <c r="BS7" s="184" t="s">
        <v>162</v>
      </c>
      <c r="BT7" s="56" t="s">
        <v>162</v>
      </c>
      <c r="BU7" s="56" t="s">
        <v>162</v>
      </c>
      <c r="BV7" s="56" t="s">
        <v>162</v>
      </c>
      <c r="BW7" s="56" t="s">
        <v>162</v>
      </c>
      <c r="BX7" s="56" t="s">
        <v>162</v>
      </c>
      <c r="BY7" s="185" t="s">
        <v>162</v>
      </c>
      <c r="BZ7" s="194" t="s">
        <v>26</v>
      </c>
      <c r="CA7" s="187" t="s">
        <v>26</v>
      </c>
      <c r="CB7" s="128"/>
      <c r="CC7" s="23" t="s">
        <v>23</v>
      </c>
      <c r="CD7" s="23" t="s">
        <v>23</v>
      </c>
      <c r="CE7" s="23" t="s">
        <v>26</v>
      </c>
      <c r="CF7" s="23" t="s">
        <v>23</v>
      </c>
      <c r="CG7" s="23" t="s">
        <v>23</v>
      </c>
      <c r="CH7" s="128"/>
      <c r="CI7" s="76"/>
      <c r="CJ7" s="183"/>
      <c r="CK7" s="187" t="s">
        <v>23</v>
      </c>
      <c r="CL7" s="128"/>
      <c r="CM7" s="23" t="s">
        <v>23</v>
      </c>
      <c r="CN7" s="23" t="s">
        <v>26</v>
      </c>
      <c r="CO7" s="23" t="s">
        <v>23</v>
      </c>
      <c r="CP7" s="23" t="s">
        <v>23</v>
      </c>
      <c r="CQ7" s="128"/>
      <c r="CR7" s="76"/>
      <c r="CS7" s="183"/>
      <c r="CT7" s="187" t="s">
        <v>81</v>
      </c>
      <c r="CU7" s="23"/>
      <c r="CV7" s="188"/>
      <c r="CW7" s="187"/>
      <c r="CX7" s="23"/>
      <c r="CY7" s="23"/>
      <c r="CZ7" s="188"/>
      <c r="DA7" s="187"/>
      <c r="DB7" s="23"/>
      <c r="DC7" s="188"/>
      <c r="DD7" s="189"/>
      <c r="DE7" s="23"/>
      <c r="DF7" s="23"/>
      <c r="DG7" s="190"/>
      <c r="DH7" s="184" t="n">
        <v>764</v>
      </c>
      <c r="DI7" s="56"/>
      <c r="DJ7" s="56"/>
      <c r="DK7" s="181" t="n">
        <v>7</v>
      </c>
      <c r="DL7" s="195" t="n">
        <f aca="false">SUM(DM7:DS7)</f>
        <v>0.81</v>
      </c>
      <c r="DM7" s="77" t="n">
        <v>0.4</v>
      </c>
      <c r="DN7" s="77" t="n">
        <v>0</v>
      </c>
      <c r="DO7" s="77" t="n">
        <v>0.05</v>
      </c>
      <c r="DP7" s="77" t="n">
        <v>0.22</v>
      </c>
      <c r="DQ7" s="77" t="n">
        <v>0.12</v>
      </c>
      <c r="DR7" s="77" t="n">
        <v>0.02</v>
      </c>
      <c r="DS7" s="77" t="n">
        <v>0</v>
      </c>
      <c r="DT7" s="196" t="n">
        <f aca="false">SUM(DU7:EA7)</f>
        <v>0.2</v>
      </c>
      <c r="DU7" s="77" t="n">
        <v>0.13</v>
      </c>
      <c r="DV7" s="77" t="n">
        <v>0</v>
      </c>
      <c r="DW7" s="77" t="n">
        <v>0</v>
      </c>
      <c r="DX7" s="77" t="n">
        <v>0</v>
      </c>
      <c r="DY7" s="77" t="n">
        <v>0</v>
      </c>
      <c r="DZ7" s="77" t="n">
        <v>0.07</v>
      </c>
      <c r="EA7" s="77" t="n">
        <v>0</v>
      </c>
    </row>
    <row r="8" customFormat="false" ht="13.8" hidden="false" customHeight="false" outlineLevel="0" collapsed="false">
      <c r="A8" s="23" t="s">
        <v>34</v>
      </c>
      <c r="B8" s="178" t="s">
        <v>43</v>
      </c>
      <c r="C8" s="39" t="s">
        <v>65</v>
      </c>
      <c r="D8" s="23" t="s">
        <v>69</v>
      </c>
      <c r="E8" s="23" t="n">
        <v>2.329923</v>
      </c>
      <c r="F8" s="179" t="n">
        <v>48.885048</v>
      </c>
      <c r="G8" s="180" t="s">
        <v>3</v>
      </c>
      <c r="H8" s="56" t="n">
        <v>305</v>
      </c>
      <c r="I8" s="56" t="s">
        <v>81</v>
      </c>
      <c r="J8" s="56" t="s">
        <v>85</v>
      </c>
      <c r="K8" s="56" t="s">
        <v>91</v>
      </c>
      <c r="L8" s="56" t="s">
        <v>99</v>
      </c>
      <c r="M8" s="56" t="s">
        <v>81</v>
      </c>
      <c r="N8" s="56" t="s">
        <v>81</v>
      </c>
      <c r="O8" s="181" t="s">
        <v>106</v>
      </c>
      <c r="P8" s="182"/>
      <c r="Q8" s="76"/>
      <c r="R8" s="76"/>
      <c r="S8" s="56" t="s">
        <v>81</v>
      </c>
      <c r="T8" s="76"/>
      <c r="U8" s="76"/>
      <c r="V8" s="76"/>
      <c r="W8" s="183"/>
      <c r="X8" s="184"/>
      <c r="Y8" s="56"/>
      <c r="Z8" s="56"/>
      <c r="AA8" s="56"/>
      <c r="AB8" s="56"/>
      <c r="AC8" s="56"/>
      <c r="AD8" s="56"/>
      <c r="AE8" s="185"/>
      <c r="AF8" s="186" t="n">
        <v>0</v>
      </c>
      <c r="AG8" s="23" t="s">
        <v>81</v>
      </c>
      <c r="AH8" s="23" t="s">
        <v>81</v>
      </c>
      <c r="AI8" s="23" t="s">
        <v>81</v>
      </c>
      <c r="AJ8" s="110" t="n">
        <v>1</v>
      </c>
      <c r="AK8" s="23" t="s">
        <v>81</v>
      </c>
      <c r="AL8" s="23" t="s">
        <v>81</v>
      </c>
      <c r="AM8" s="23" t="s">
        <v>81</v>
      </c>
      <c r="AN8" s="23" t="s">
        <v>81</v>
      </c>
      <c r="AO8" s="178" t="s">
        <v>81</v>
      </c>
      <c r="AP8" s="187" t="n">
        <v>1</v>
      </c>
      <c r="AQ8" s="23" t="n">
        <v>1</v>
      </c>
      <c r="AR8" s="23" t="n">
        <v>0</v>
      </c>
      <c r="AS8" s="188" t="n">
        <v>0</v>
      </c>
      <c r="AT8" s="189" t="s">
        <v>26</v>
      </c>
      <c r="AU8" s="23" t="s">
        <v>23</v>
      </c>
      <c r="AV8" s="23" t="s">
        <v>23</v>
      </c>
      <c r="AW8" s="23" t="s">
        <v>23</v>
      </c>
      <c r="AX8" s="23" t="s">
        <v>23</v>
      </c>
      <c r="AY8" s="190" t="s">
        <v>26</v>
      </c>
      <c r="AZ8" s="184"/>
      <c r="BA8" s="128"/>
      <c r="BB8" s="56" t="s">
        <v>82</v>
      </c>
      <c r="BC8" s="56" t="s">
        <v>162</v>
      </c>
      <c r="BD8" s="56" t="s">
        <v>82</v>
      </c>
      <c r="BE8" s="56" t="s">
        <v>82</v>
      </c>
      <c r="BF8" s="191"/>
      <c r="BG8" s="192"/>
      <c r="BH8" s="56"/>
      <c r="BI8" s="193"/>
      <c r="BJ8" s="192"/>
      <c r="BK8" s="193"/>
      <c r="BL8" s="192" t="s">
        <v>162</v>
      </c>
      <c r="BM8" s="56" t="s">
        <v>162</v>
      </c>
      <c r="BN8" s="56" t="s">
        <v>162</v>
      </c>
      <c r="BO8" s="56" t="s">
        <v>162</v>
      </c>
      <c r="BP8" s="56" t="s">
        <v>162</v>
      </c>
      <c r="BQ8" s="56" t="s">
        <v>162</v>
      </c>
      <c r="BR8" s="193" t="s">
        <v>162</v>
      </c>
      <c r="BS8" s="184" t="s">
        <v>162</v>
      </c>
      <c r="BT8" s="56" t="s">
        <v>162</v>
      </c>
      <c r="BU8" s="56" t="s">
        <v>162</v>
      </c>
      <c r="BV8" s="56" t="s">
        <v>162</v>
      </c>
      <c r="BW8" s="56"/>
      <c r="BX8" s="56" t="s">
        <v>162</v>
      </c>
      <c r="BY8" s="185" t="s">
        <v>162</v>
      </c>
      <c r="BZ8" s="194" t="s">
        <v>26</v>
      </c>
      <c r="CA8" s="187" t="s">
        <v>26</v>
      </c>
      <c r="CB8" s="128"/>
      <c r="CC8" s="23" t="s">
        <v>26</v>
      </c>
      <c r="CD8" s="23" t="s">
        <v>23</v>
      </c>
      <c r="CE8" s="23" t="s">
        <v>23</v>
      </c>
      <c r="CF8" s="23" t="s">
        <v>23</v>
      </c>
      <c r="CG8" s="23" t="s">
        <v>23</v>
      </c>
      <c r="CH8" s="128"/>
      <c r="CI8" s="23" t="s">
        <v>162</v>
      </c>
      <c r="CJ8" s="188"/>
      <c r="CK8" s="187" t="s">
        <v>23</v>
      </c>
      <c r="CL8" s="128"/>
      <c r="CM8" s="23" t="s">
        <v>26</v>
      </c>
      <c r="CN8" s="23" t="s">
        <v>23</v>
      </c>
      <c r="CO8" s="23" t="s">
        <v>23</v>
      </c>
      <c r="CP8" s="23" t="s">
        <v>23</v>
      </c>
      <c r="CQ8" s="128"/>
      <c r="CR8" s="23" t="s">
        <v>162</v>
      </c>
      <c r="CS8" s="188"/>
      <c r="CT8" s="187" t="s">
        <v>81</v>
      </c>
      <c r="CU8" s="23"/>
      <c r="CV8" s="188"/>
      <c r="CW8" s="187"/>
      <c r="CX8" s="23"/>
      <c r="CY8" s="23"/>
      <c r="CZ8" s="188"/>
      <c r="DA8" s="187"/>
      <c r="DB8" s="23"/>
      <c r="DC8" s="188"/>
      <c r="DD8" s="189"/>
      <c r="DE8" s="23"/>
      <c r="DF8" s="23"/>
      <c r="DG8" s="190"/>
      <c r="DH8" s="184" t="n">
        <v>305</v>
      </c>
      <c r="DI8" s="56"/>
      <c r="DJ8" s="56"/>
      <c r="DK8" s="181" t="n">
        <v>6</v>
      </c>
      <c r="DL8" s="195" t="n">
        <f aca="false">SUM(DM8:DS8)</f>
        <v>0.93</v>
      </c>
      <c r="DM8" s="77" t="n">
        <v>0.5</v>
      </c>
      <c r="DN8" s="77" t="n">
        <v>0.29</v>
      </c>
      <c r="DO8" s="77" t="n">
        <v>0.07</v>
      </c>
      <c r="DP8" s="77" t="n">
        <v>0</v>
      </c>
      <c r="DQ8" s="77" t="n">
        <v>0.07</v>
      </c>
      <c r="DR8" s="77" t="n">
        <v>0</v>
      </c>
      <c r="DS8" s="77" t="n">
        <v>0</v>
      </c>
      <c r="DT8" s="196" t="n">
        <f aca="false">SUM(DU8:EA8)</f>
        <v>0.06</v>
      </c>
      <c r="DU8" s="77" t="n">
        <v>0.02</v>
      </c>
      <c r="DV8" s="77" t="n">
        <v>0</v>
      </c>
      <c r="DW8" s="77" t="n">
        <v>0.02</v>
      </c>
      <c r="DX8" s="77" t="n">
        <v>0</v>
      </c>
      <c r="DY8" s="77" t="n">
        <v>0</v>
      </c>
      <c r="DZ8" s="77" t="n">
        <v>0</v>
      </c>
      <c r="EA8" s="77" t="n">
        <v>0.02</v>
      </c>
    </row>
    <row r="9" customFormat="false" ht="13.8" hidden="false" customHeight="false" outlineLevel="0" collapsed="false">
      <c r="A9" s="23" t="s">
        <v>35</v>
      </c>
      <c r="B9" s="178" t="s">
        <v>44</v>
      </c>
      <c r="C9" s="39" t="s">
        <v>66</v>
      </c>
      <c r="D9" s="23" t="s">
        <v>70</v>
      </c>
      <c r="E9" s="23" t="n">
        <v>2.256274</v>
      </c>
      <c r="F9" s="179" t="n">
        <v>48.833827</v>
      </c>
      <c r="G9" s="180" t="s">
        <v>3</v>
      </c>
      <c r="H9" s="56" t="n">
        <v>191</v>
      </c>
      <c r="I9" s="56" t="s">
        <v>81</v>
      </c>
      <c r="J9" s="56" t="s">
        <v>84</v>
      </c>
      <c r="K9" s="56" t="s">
        <v>92</v>
      </c>
      <c r="L9" s="56" t="s">
        <v>100</v>
      </c>
      <c r="M9" s="56" t="s">
        <v>81</v>
      </c>
      <c r="N9" s="56" t="s">
        <v>81</v>
      </c>
      <c r="O9" s="181" t="s">
        <v>106</v>
      </c>
      <c r="P9" s="182"/>
      <c r="Q9" s="76"/>
      <c r="R9" s="76"/>
      <c r="S9" s="56" t="s">
        <v>81</v>
      </c>
      <c r="T9" s="76"/>
      <c r="U9" s="76"/>
      <c r="V9" s="76"/>
      <c r="W9" s="183"/>
      <c r="X9" s="184"/>
      <c r="Y9" s="56"/>
      <c r="Z9" s="56"/>
      <c r="AA9" s="56"/>
      <c r="AB9" s="56"/>
      <c r="AC9" s="56"/>
      <c r="AD9" s="56"/>
      <c r="AE9" s="185"/>
      <c r="AF9" s="186" t="n">
        <v>1</v>
      </c>
      <c r="AG9" s="23" t="s">
        <v>81</v>
      </c>
      <c r="AH9" s="23" t="s">
        <v>81</v>
      </c>
      <c r="AI9" s="23" t="s">
        <v>81</v>
      </c>
      <c r="AJ9" s="110" t="n">
        <v>2</v>
      </c>
      <c r="AK9" s="23" t="s">
        <v>81</v>
      </c>
      <c r="AL9" s="23" t="s">
        <v>81</v>
      </c>
      <c r="AM9" s="23" t="s">
        <v>81</v>
      </c>
      <c r="AN9" s="23" t="s">
        <v>81</v>
      </c>
      <c r="AO9" s="178" t="s">
        <v>81</v>
      </c>
      <c r="AP9" s="187" t="n">
        <v>13</v>
      </c>
      <c r="AQ9" s="23" t="n">
        <v>1</v>
      </c>
      <c r="AR9" s="23" t="n">
        <v>0</v>
      </c>
      <c r="AS9" s="188" t="n">
        <v>1</v>
      </c>
      <c r="AT9" s="189" t="s">
        <v>26</v>
      </c>
      <c r="AU9" s="23" t="s">
        <v>23</v>
      </c>
      <c r="AV9" s="23" t="s">
        <v>26</v>
      </c>
      <c r="AW9" s="23" t="s">
        <v>23</v>
      </c>
      <c r="AX9" s="23" t="s">
        <v>23</v>
      </c>
      <c r="AY9" s="190" t="s">
        <v>26</v>
      </c>
      <c r="AZ9" s="184"/>
      <c r="BA9" s="128"/>
      <c r="BB9" s="56" t="s">
        <v>82</v>
      </c>
      <c r="BC9" s="56" t="s">
        <v>162</v>
      </c>
      <c r="BD9" s="56" t="s">
        <v>82</v>
      </c>
      <c r="BE9" s="56" t="s">
        <v>82</v>
      </c>
      <c r="BF9" s="191"/>
      <c r="BG9" s="192"/>
      <c r="BH9" s="56"/>
      <c r="BI9" s="193"/>
      <c r="BJ9" s="192"/>
      <c r="BK9" s="193"/>
      <c r="BL9" s="192" t="s">
        <v>162</v>
      </c>
      <c r="BM9" s="56" t="s">
        <v>162</v>
      </c>
      <c r="BN9" s="56" t="s">
        <v>162</v>
      </c>
      <c r="BO9" s="56" t="s">
        <v>162</v>
      </c>
      <c r="BP9" s="56" t="s">
        <v>162</v>
      </c>
      <c r="BQ9" s="56" t="s">
        <v>162</v>
      </c>
      <c r="BR9" s="193"/>
      <c r="BS9" s="184" t="s">
        <v>162</v>
      </c>
      <c r="BT9" s="56" t="s">
        <v>162</v>
      </c>
      <c r="BU9" s="56"/>
      <c r="BV9" s="56"/>
      <c r="BW9" s="56"/>
      <c r="BX9" s="56" t="s">
        <v>162</v>
      </c>
      <c r="BY9" s="185"/>
      <c r="BZ9" s="194" t="s">
        <v>26</v>
      </c>
      <c r="CA9" s="187" t="s">
        <v>26</v>
      </c>
      <c r="CB9" s="128"/>
      <c r="CC9" s="23" t="s">
        <v>26</v>
      </c>
      <c r="CD9" s="23" t="s">
        <v>23</v>
      </c>
      <c r="CE9" s="23" t="s">
        <v>23</v>
      </c>
      <c r="CF9" s="23" t="s">
        <v>23</v>
      </c>
      <c r="CG9" s="23" t="s">
        <v>23</v>
      </c>
      <c r="CH9" s="128"/>
      <c r="CI9" s="23" t="s">
        <v>162</v>
      </c>
      <c r="CJ9" s="188"/>
      <c r="CK9" s="187" t="s">
        <v>23</v>
      </c>
      <c r="CL9" s="128"/>
      <c r="CM9" s="23" t="s">
        <v>26</v>
      </c>
      <c r="CN9" s="23" t="s">
        <v>23</v>
      </c>
      <c r="CO9" s="23" t="s">
        <v>23</v>
      </c>
      <c r="CP9" s="23" t="s">
        <v>23</v>
      </c>
      <c r="CQ9" s="128"/>
      <c r="CR9" s="23" t="s">
        <v>162</v>
      </c>
      <c r="CS9" s="188"/>
      <c r="CT9" s="187" t="s">
        <v>81</v>
      </c>
      <c r="CU9" s="23"/>
      <c r="CV9" s="188"/>
      <c r="CW9" s="187"/>
      <c r="CX9" s="23"/>
      <c r="CY9" s="23"/>
      <c r="CZ9" s="188"/>
      <c r="DA9" s="187"/>
      <c r="DB9" s="23"/>
      <c r="DC9" s="188"/>
      <c r="DD9" s="189"/>
      <c r="DE9" s="23"/>
      <c r="DF9" s="23"/>
      <c r="DG9" s="190"/>
      <c r="DH9" s="184" t="n">
        <v>191</v>
      </c>
      <c r="DI9" s="56"/>
      <c r="DJ9" s="56"/>
      <c r="DK9" s="181" t="n">
        <v>6</v>
      </c>
      <c r="DL9" s="195" t="n">
        <f aca="false">SUM(DM9:DS9)</f>
        <v>0.99</v>
      </c>
      <c r="DM9" s="77" t="n">
        <v>0.46</v>
      </c>
      <c r="DN9" s="77" t="n">
        <v>0.13</v>
      </c>
      <c r="DO9" s="77" t="n">
        <v>0.08</v>
      </c>
      <c r="DP9" s="77" t="n">
        <v>0.15</v>
      </c>
      <c r="DQ9" s="77" t="n">
        <v>0.14</v>
      </c>
      <c r="DR9" s="77" t="n">
        <v>0.03</v>
      </c>
      <c r="DS9" s="77" t="n">
        <v>0</v>
      </c>
      <c r="DT9" s="196" t="n">
        <f aca="false">SUM(DU9:EA9)</f>
        <v>0</v>
      </c>
      <c r="DU9" s="77" t="n">
        <v>0</v>
      </c>
      <c r="DV9" s="77" t="n">
        <v>0</v>
      </c>
      <c r="DW9" s="77" t="n">
        <v>0</v>
      </c>
      <c r="DX9" s="77" t="n">
        <v>0</v>
      </c>
      <c r="DY9" s="77" t="n">
        <v>0</v>
      </c>
      <c r="DZ9" s="77" t="n">
        <v>0</v>
      </c>
      <c r="EA9" s="7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2026-03-19T23:22:57Z</dcterms:created>
  <dc:creator>BERTRAND Thomas</dc:creator>
  <dc:description/>
  <dc:language>fr-FR</dc:language>
  <cp:lastModifiedBy/>
  <dcterms:modified xsi:type="dcterms:W3CDTF">2026-05-26T12:59:54Z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