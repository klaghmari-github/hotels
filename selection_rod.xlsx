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<sst xmlns="http://schemas.openxmlformats.org/spreadsheetml/2006/main" count="524" uniqueCount="163">
  <si>
    <t xml:space="preserve">CODE H</t>
  </si>
  <si>
    <t xml:space="preserve">NOM DE L'HOTEL</t>
  </si>
  <si>
    <t xml:space="preserve">CODE POSTAL</t>
  </si>
  <si>
    <t xml:space="preserve">VILLE</t>
  </si>
  <si>
    <t xml:space="preserve">LONGITUDE</t>
  </si>
  <si>
    <t xml:space="preserve">LATITUDE</t>
  </si>
  <si>
    <t xml:space="preserve">MARQUE</t>
  </si>
  <si>
    <t xml:space="preserve">NB. DE CHAMBRES</t>
  </si>
  <si>
    <t xml:space="preserve">CONTRAT SIGNE (ANNEE)</t>
  </si>
  <si>
    <t xml:space="preserve">CONTRAT (TYPE)</t>
  </si>
  <si>
    <t xml:space="preserve">PROPRIETAIRE</t>
  </si>
  <si>
    <t xml:space="preserve">DOM/DOF</t>
  </si>
  <si>
    <t xml:space="preserve">DERNIERE RENO HOTEL</t>
  </si>
  <si>
    <t xml:space="preserve">DERNIERE RENO LOBBY</t>
  </si>
  <si>
    <t xml:space="preserve">PMS</t>
  </si>
  <si>
    <t xml:space="preserve"># ADULTES PAR CHAMBRE</t>
  </si>
  <si>
    <t xml:space="preserve"># ENFANTS PAR CHAMBRE</t>
  </si>
  <si>
    <t xml:space="preserve">PANIER MOYEN</t>
  </si>
  <si>
    <t xml:space="preserve">TO ANNUEL</t>
  </si>
  <si>
    <t xml:space="preserve">TO LE PLUS BAS (MOIS)</t>
  </si>
  <si>
    <t xml:space="preserve">TO LE PLUS BAS (TAUX)</t>
  </si>
  <si>
    <t xml:space="preserve">TO LE PLUS HAUT (MOIS)</t>
  </si>
  <si>
    <t xml:space="preserve">TO LE PLUS HAUT (TAUX)</t>
  </si>
  <si>
    <t xml:space="preserve">A PROXIMITE (A 100m)</t>
  </si>
  <si>
    <t xml:space="preserve">NB. RESTAURATION…</t>
  </si>
  <si>
    <t xml:space="preserve">NB. SUPERMARCHÉS…</t>
  </si>
  <si>
    <t xml:space="preserve">NB. AUTRES COMMERCES…</t>
  </si>
  <si>
    <t xml:space="preserve">A PROXIMITE (A 500m)</t>
  </si>
  <si>
    <t xml:space="preserve">BAR</t>
  </si>
  <si>
    <t xml:space="preserve">HORAIRES D'OUVERTURE</t>
  </si>
  <si>
    <t xml:space="preserve">JOURS D'OUVERTURE</t>
  </si>
  <si>
    <t xml:space="preserve">MOIS D'OUVERTURE</t>
  </si>
  <si>
    <t xml:space="preserve">RESTAURANT</t>
  </si>
  <si>
    <t xml:space="preserve">ROOM-SERVICE</t>
  </si>
  <si>
    <t xml:space="preserve">MINIBAR</t>
  </si>
  <si>
    <t xml:space="preserve">SALLES DE REUNION</t>
  </si>
  <si>
    <t xml:space="preserve">SALLE DE SPORT</t>
  </si>
  <si>
    <t xml:space="preserve">SPA</t>
  </si>
  <si>
    <t xml:space="preserve">PISCINE</t>
  </si>
  <si>
    <t xml:space="preserve">VITRINE RÉFRIGÉRÉE</t>
  </si>
  <si>
    <t xml:space="preserve">MICRO-ONDES</t>
  </si>
  <si>
    <t xml:space="preserve">FONTAINE À EAU</t>
  </si>
  <si>
    <t xml:space="preserve">MACHINE À CAFÉ</t>
  </si>
  <si>
    <t xml:space="preserve">BOUILLOIRE</t>
  </si>
  <si>
    <t xml:space="preserve">ASSISES</t>
  </si>
  <si>
    <t xml:space="preserve">LOISIRS (%)</t>
  </si>
  <si>
    <t xml:space="preserve">LOISIRS INDIVIDUELS (%)</t>
  </si>
  <si>
    <t xml:space="preserve">TOP 1 &gt; SOLO</t>
  </si>
  <si>
    <t xml:space="preserve">TOP 1 &gt; COUPLES</t>
  </si>
  <si>
    <t xml:space="preserve">TOP 1 &gt; AMIS</t>
  </si>
  <si>
    <t xml:space="preserve">TOP 1 &gt; FAMILLES</t>
  </si>
  <si>
    <t xml:space="preserve">LOISIRS GROUPES (%)</t>
  </si>
  <si>
    <t xml:space="preserve">AFFAIRES (%)</t>
  </si>
  <si>
    <t xml:space="preserve">AFFAIRES INDIVIDUELS (%)</t>
  </si>
  <si>
    <t xml:space="preserve">AFFAIRES GROUPES (%)</t>
  </si>
  <si>
    <t xml:space="preserve">NATIONAL (%)</t>
  </si>
  <si>
    <t xml:space="preserve">INTERNATIONAL (%)</t>
  </si>
  <si>
    <t xml:space="preserve">BOISSONS NON ALCOOLISÉES</t>
  </si>
  <si>
    <t xml:space="preserve">BOISSONS ALCOOLISÉES</t>
  </si>
  <si>
    <t xml:space="preserve">PRODUITS SALÉS SECS</t>
  </si>
  <si>
    <t xml:space="preserve">PRODUITS SALÉS FRAIS</t>
  </si>
  <si>
    <t xml:space="preserve">PRODUITS SUCRÉS SECS</t>
  </si>
  <si>
    <t xml:space="preserve">PRODUITS SUCRÉS FRAIS</t>
  </si>
  <si>
    <t xml:space="preserve">EPICERIE FINE</t>
  </si>
  <si>
    <t xml:space="preserve">PRODUITS SOS</t>
  </si>
  <si>
    <t xml:space="preserve">HYGIÈNE</t>
  </si>
  <si>
    <t xml:space="preserve">PRODUITS COSMÉTIQUES</t>
  </si>
  <si>
    <t xml:space="preserve">ARTICLES POUR ENFANTS</t>
  </si>
  <si>
    <t xml:space="preserve">PRÊT-À-PORTER</t>
  </si>
  <si>
    <t xml:space="preserve">ACCESSOIRES</t>
  </si>
  <si>
    <t xml:space="preserve">SOUVENIRS</t>
  </si>
  <si>
    <t xml:space="preserve">VOTRE HOTEL DISPOSE-T-IL DÉJÀ D’UN CORNER DE VENTE ?</t>
  </si>
  <si>
    <t xml:space="preserve">LISTE DES PRODUITS F&amp;B</t>
  </si>
  <si>
    <t xml:space="preserve">CANAUX DE VENTE</t>
  </si>
  <si>
    <t xml:space="preserve">F_B__RÉCEPTION</t>
  </si>
  <si>
    <t xml:space="preserve">F_B__SNACKING/COMPTOIR</t>
  </si>
  <si>
    <t xml:space="preserve">F_B__DISTRIBUTEUR AUTO.</t>
  </si>
  <si>
    <t xml:space="preserve">FRIGO CONNECTÉ</t>
  </si>
  <si>
    <t xml:space="preserve">CAISSE CODE-BARRES</t>
  </si>
  <si>
    <t xml:space="preserve">RÉAPPRO.</t>
  </si>
  <si>
    <t xml:space="preserve">HOTEL STAFF</t>
  </si>
  <si>
    <t xml:space="preserve">FOURNISSEUR</t>
  </si>
  <si>
    <t xml:space="preserve">LISTE DES PRODUITS NON-F&amp;B</t>
  </si>
  <si>
    <t xml:space="preserve">NON_F_B__RÉCEPTION</t>
  </si>
  <si>
    <t xml:space="preserve">NON_F_B__DISTRIBUTEUR AUTO.</t>
  </si>
  <si>
    <t xml:space="preserve">ARMOIRE CONNECTÉE</t>
  </si>
  <si>
    <t xml:space="preserve">X% DE MES CLIENTS PASSENT DEVANT CE CORNER</t>
  </si>
  <si>
    <t xml:space="preserve">MÈTRES LINÉAIRES (ESTIMATION)</t>
  </si>
  <si>
    <t xml:space="preserve">MÈTRES CARRÉS (ESTIMATION)</t>
  </si>
  <si>
    <t xml:space="preserve">WIFI</t>
  </si>
  <si>
    <t xml:space="preserve">INTERNET FILAIRE (PRISE RJ45)</t>
  </si>
  <si>
    <t xml:space="preserve">ALIMENTATION ÉLECTRIQUE</t>
  </si>
  <si>
    <t xml:space="preserve">VIDÉOSURVEILLANCE</t>
  </si>
  <si>
    <t xml:space="preserve">X% DE MES CLIENTS PASSENT DEVANT CET EMPLACEMENT</t>
  </si>
  <si>
    <t xml:space="preserve"># MOYEN DE GUESTS PAR CHAMBRE</t>
  </si>
  <si>
    <t xml:space="preserve">TO ANNUEL MOYEN</t>
  </si>
  <si>
    <t xml:space="preserve">MÈTRES LINÉAIRES DEDIES A VOTRE CORNER (ACTUEL OU FUTUR)</t>
  </si>
  <si>
    <t xml:space="preserve">% DE PRODUITS F&amp;B</t>
  </si>
  <si>
    <t xml:space="preserve">% DE PRODUITS NON-F&amp;B</t>
  </si>
  <si>
    <t xml:space="preserve">H2075</t>
  </si>
  <si>
    <t xml:space="preserve">IBIS BUDGET NICE CALIFORNIE</t>
  </si>
  <si>
    <t xml:space="preserve">06200</t>
  </si>
  <si>
    <t xml:space="preserve">NICE</t>
  </si>
  <si>
    <t xml:space="preserve">IBIS BUDGET</t>
  </si>
  <si>
    <t xml:space="preserve">?</t>
  </si>
  <si>
    <t xml:space="preserve">FRANCHISE</t>
  </si>
  <si>
    <t xml:space="preserve">FAMILLE FARINES</t>
  </si>
  <si>
    <t xml:space="preserve">Marion BOROT</t>
  </si>
  <si>
    <t xml:space="preserve">FOLS</t>
  </si>
  <si>
    <t xml:space="preserve">-</t>
  </si>
  <si>
    <t xml:space="preserve">OUI</t>
  </si>
  <si>
    <t xml:space="preserve"> - </t>
  </si>
  <si>
    <t xml:space="preserve">X</t>
  </si>
  <si>
    <t xml:space="preserve">NON</t>
  </si>
  <si>
    <t xml:space="preserve">HB6A3</t>
  </si>
  <si>
    <t xml:space="preserve">IBIS BUDGET STRASBOURG REPUBLIQUE</t>
  </si>
  <si>
    <t xml:space="preserve">67000</t>
  </si>
  <si>
    <t xml:space="preserve">STRASBOURG</t>
  </si>
  <si>
    <t xml:space="preserve">MILLION - CHOREIN</t>
  </si>
  <si>
    <t xml:space="preserve">Christophe RUQUEBOEUCHE</t>
  </si>
  <si>
    <t xml:space="preserve">OPERA</t>
  </si>
  <si>
    <t xml:space="preserve">JANVIER</t>
  </si>
  <si>
    <t xml:space="preserve">DECEMBRE</t>
  </si>
  <si>
    <t xml:space="preserve">16h - 00h</t>
  </si>
  <si>
    <t xml:space="preserve">MARDI AU SAMEDI</t>
  </si>
  <si>
    <t xml:space="preserve">TOUS</t>
  </si>
  <si>
    <t xml:space="preserve">1,5</t>
  </si>
  <si>
    <t xml:space="preserve">H0815</t>
  </si>
  <si>
    <t xml:space="preserve">IBIS STYLES ROISSY CDG</t>
  </si>
  <si>
    <t xml:space="preserve">95700</t>
  </si>
  <si>
    <t xml:space="preserve">ROISSY</t>
  </si>
  <si>
    <t xml:space="preserve">IBIS STYLES</t>
  </si>
  <si>
    <t xml:space="preserve">FERRE HOTELS</t>
  </si>
  <si>
    <t xml:space="preserve">Sophie CHOLLON</t>
  </si>
  <si>
    <t xml:space="preserve">AOUT</t>
  </si>
  <si>
    <t xml:space="preserve">07h-23h</t>
  </si>
  <si>
    <t xml:space="preserve">18h-22h</t>
  </si>
  <si>
    <t xml:space="preserve">1,4</t>
  </si>
  <si>
    <t xml:space="preserve">HB5I0</t>
  </si>
  <si>
    <t xml:space="preserve">NOVOTEL MEGEVE MONT BLANC</t>
  </si>
  <si>
    <t xml:space="preserve">74120</t>
  </si>
  <si>
    <t xml:space="preserve">MEGEVE</t>
  </si>
  <si>
    <t xml:space="preserve">NOVOTEL</t>
  </si>
  <si>
    <t xml:space="preserve">FAMILLE DELETTRE</t>
  </si>
  <si>
    <t xml:space="preserve">Bello DIALLO</t>
  </si>
  <si>
    <t xml:space="preserve">H3546</t>
  </si>
  <si>
    <t xml:space="preserve">NOVOTEL PARIS CENTRE TOUR EIFFEL</t>
  </si>
  <si>
    <t xml:space="preserve">75015</t>
  </si>
  <si>
    <t xml:space="preserve">PARIS</t>
  </si>
  <si>
    <t xml:space="preserve">MANAGÉ</t>
  </si>
  <si>
    <t xml:space="preserve">ACCORINVEST FRANCE</t>
  </si>
  <si>
    <t xml:space="preserve">Philippe JAUSSELY</t>
  </si>
  <si>
    <t xml:space="preserve">H0373</t>
  </si>
  <si>
    <t xml:space="preserve">MERCURE MONTMARTRE SACRE COEUR</t>
  </si>
  <si>
    <t xml:space="preserve">75018</t>
  </si>
  <si>
    <t xml:space="preserve">MERCURE</t>
  </si>
  <si>
    <t xml:space="preserve">Thibault FREMONT</t>
  </si>
  <si>
    <t xml:space="preserve">H6188</t>
  </si>
  <si>
    <t xml:space="preserve">MERCURE PARIS BOULOGNE</t>
  </si>
  <si>
    <t xml:space="preserve">92100</t>
  </si>
  <si>
    <t xml:space="preserve">BOULOGNE-BILLANCOURT</t>
  </si>
  <si>
    <t xml:space="preserve">GROUPE COVIVIO</t>
  </si>
  <si>
    <t xml:space="preserve">Hubert VANQUATHEM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</si>
</sst>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\ %"/>
    <numFmt numFmtId="167" formatCode="0\ %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E8E8E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ck">
        <color theme="1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ck">
        <color theme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" activeCellId="0" sqref="B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1" width="35.37"/>
    <col collapsed="false" customWidth="true" hidden="false" outlineLevel="0" max="3" min="3" style="1" width="13.3"/>
    <col collapsed="false" customWidth="true" hidden="false" outlineLevel="0" max="4" min="4" style="1" width="23.57"/>
  </cols>
  <sheetData>
    <row r="1" customFormat="false" ht="13.8" hidden="false" customHeight="false" outlineLevel="0" collapsed="false">
      <c r="A1" s="1" t="n">
        <v>1</v>
      </c>
      <c r="B1" s="1" t="n">
        <v>1</v>
      </c>
      <c r="E1" s="1" t="n">
        <v>1</v>
      </c>
      <c r="F1" s="1" t="n">
        <v>1</v>
      </c>
      <c r="G1" s="1" t="n">
        <v>1</v>
      </c>
      <c r="H1" s="1" t="n">
        <v>1</v>
      </c>
      <c r="AF1" s="1" t="n">
        <v>1</v>
      </c>
      <c r="AJ1" s="1" t="n">
        <v>1</v>
      </c>
      <c r="AP1" s="1" t="n">
        <v>1</v>
      </c>
      <c r="AQ1" s="1" t="n">
        <v>1</v>
      </c>
      <c r="AS1" s="1" t="n">
        <v>1</v>
      </c>
      <c r="AT1" s="1" t="n">
        <v>1</v>
      </c>
      <c r="AU1" s="1" t="n">
        <v>1</v>
      </c>
      <c r="AV1" s="1" t="n">
        <v>1</v>
      </c>
      <c r="AW1" s="1" t="n">
        <v>1</v>
      </c>
      <c r="AX1" s="1" t="n">
        <v>1</v>
      </c>
      <c r="BC1" s="1" t="n">
        <v>1</v>
      </c>
      <c r="BD1" s="1" t="n">
        <v>1</v>
      </c>
      <c r="BE1" s="1" t="n">
        <v>1</v>
      </c>
      <c r="BL1" s="1" t="n">
        <v>1</v>
      </c>
      <c r="BM1" s="1" t="n">
        <v>1</v>
      </c>
      <c r="BN1" s="1" t="n">
        <v>1</v>
      </c>
      <c r="BO1" s="1" t="n">
        <v>1</v>
      </c>
      <c r="BP1" s="1" t="n">
        <v>1</v>
      </c>
      <c r="BQ1" s="1" t="n">
        <v>1</v>
      </c>
      <c r="BR1" s="1" t="n">
        <v>1</v>
      </c>
      <c r="BS1" s="1" t="n">
        <v>1</v>
      </c>
      <c r="BT1" s="1" t="n">
        <v>1</v>
      </c>
      <c r="BU1" s="1" t="n">
        <v>1</v>
      </c>
      <c r="BV1" s="1" t="n">
        <v>1</v>
      </c>
      <c r="BW1" s="1" t="n">
        <v>1</v>
      </c>
      <c r="BX1" s="1" t="n">
        <v>1</v>
      </c>
      <c r="BY1" s="1" t="n">
        <v>1</v>
      </c>
      <c r="CC1" s="1" t="n">
        <v>1</v>
      </c>
      <c r="CD1" s="1" t="n">
        <v>1</v>
      </c>
      <c r="CE1" s="1" t="n">
        <v>1</v>
      </c>
      <c r="CM1" s="1" t="n">
        <v>1</v>
      </c>
      <c r="CN1" s="1" t="n">
        <v>1</v>
      </c>
      <c r="DK1" s="1" t="n">
        <v>1</v>
      </c>
      <c r="DL1" s="1" t="n">
        <v>1</v>
      </c>
      <c r="DM1" s="1" t="n">
        <v>1</v>
      </c>
      <c r="DN1" s="1" t="n">
        <v>1</v>
      </c>
      <c r="DO1" s="1" t="n">
        <v>1</v>
      </c>
      <c r="DP1" s="1" t="n">
        <v>1</v>
      </c>
      <c r="DQ1" s="1" t="n">
        <v>1</v>
      </c>
      <c r="DR1" s="1" t="n">
        <v>1</v>
      </c>
      <c r="DS1" s="1" t="n">
        <v>1</v>
      </c>
      <c r="DT1" s="1" t="n">
        <v>1</v>
      </c>
      <c r="DU1" s="1" t="n">
        <v>1</v>
      </c>
      <c r="DV1" s="1" t="n">
        <v>1</v>
      </c>
      <c r="DW1" s="1" t="n">
        <v>1</v>
      </c>
      <c r="DX1" s="1" t="n">
        <v>1</v>
      </c>
      <c r="DY1" s="1" t="n">
        <v>1</v>
      </c>
      <c r="DZ1" s="1" t="n">
        <v>1</v>
      </c>
      <c r="EA1" s="1" t="n">
        <v>1</v>
      </c>
    </row>
    <row r="2" customFormat="false" ht="16.4" hidden="false" customHeight="false" outlineLevel="0" collapsed="false">
      <c r="A2" s="2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8" t="s">
        <v>14</v>
      </c>
      <c r="P2" s="9" t="s">
        <v>15</v>
      </c>
      <c r="Q2" s="7" t="s">
        <v>16</v>
      </c>
      <c r="R2" s="7" t="s">
        <v>17</v>
      </c>
      <c r="S2" s="7" t="s">
        <v>18</v>
      </c>
      <c r="T2" s="10" t="s">
        <v>19</v>
      </c>
      <c r="U2" s="10" t="s">
        <v>20</v>
      </c>
      <c r="V2" s="10" t="s">
        <v>21</v>
      </c>
      <c r="W2" s="11" t="s">
        <v>22</v>
      </c>
      <c r="X2" s="12" t="s">
        <v>23</v>
      </c>
      <c r="Y2" s="10" t="s">
        <v>24</v>
      </c>
      <c r="Z2" s="10" t="s">
        <v>25</v>
      </c>
      <c r="AA2" s="10" t="s">
        <v>26</v>
      </c>
      <c r="AB2" s="7" t="s">
        <v>27</v>
      </c>
      <c r="AC2" s="10" t="s">
        <v>24</v>
      </c>
      <c r="AD2" s="10" t="s">
        <v>25</v>
      </c>
      <c r="AE2" s="13" t="s">
        <v>26</v>
      </c>
      <c r="AF2" s="14" t="s">
        <v>28</v>
      </c>
      <c r="AG2" s="15" t="s">
        <v>29</v>
      </c>
      <c r="AH2" s="15" t="s">
        <v>30</v>
      </c>
      <c r="AI2" s="15" t="s">
        <v>31</v>
      </c>
      <c r="AJ2" s="4" t="s">
        <v>32</v>
      </c>
      <c r="AK2" s="15" t="s">
        <v>29</v>
      </c>
      <c r="AL2" s="15" t="s">
        <v>30</v>
      </c>
      <c r="AM2" s="15" t="s">
        <v>31</v>
      </c>
      <c r="AN2" s="4" t="s">
        <v>33</v>
      </c>
      <c r="AO2" s="16" t="s">
        <v>34</v>
      </c>
      <c r="AP2" s="17" t="s">
        <v>35</v>
      </c>
      <c r="AQ2" s="4" t="s">
        <v>36</v>
      </c>
      <c r="AR2" s="4" t="s">
        <v>37</v>
      </c>
      <c r="AS2" s="18" t="s">
        <v>38</v>
      </c>
      <c r="AT2" s="14" t="s">
        <v>39</v>
      </c>
      <c r="AU2" s="4" t="s">
        <v>40</v>
      </c>
      <c r="AV2" s="4" t="s">
        <v>41</v>
      </c>
      <c r="AW2" s="4" t="s">
        <v>42</v>
      </c>
      <c r="AX2" s="4" t="s">
        <v>43</v>
      </c>
      <c r="AY2" s="5" t="s">
        <v>44</v>
      </c>
      <c r="AZ2" s="12" t="s">
        <v>45</v>
      </c>
      <c r="BA2" s="7" t="s">
        <v>46</v>
      </c>
      <c r="BB2" s="10" t="s">
        <v>47</v>
      </c>
      <c r="BC2" s="10" t="s">
        <v>48</v>
      </c>
      <c r="BD2" s="10" t="s">
        <v>49</v>
      </c>
      <c r="BE2" s="10" t="s">
        <v>50</v>
      </c>
      <c r="BF2" s="8" t="s">
        <v>51</v>
      </c>
      <c r="BG2" s="9" t="s">
        <v>52</v>
      </c>
      <c r="BH2" s="7" t="s">
        <v>53</v>
      </c>
      <c r="BI2" s="19" t="s">
        <v>54</v>
      </c>
      <c r="BJ2" s="9" t="s">
        <v>55</v>
      </c>
      <c r="BK2" s="19" t="s">
        <v>56</v>
      </c>
      <c r="BL2" s="9" t="s">
        <v>57</v>
      </c>
      <c r="BM2" s="7" t="s">
        <v>58</v>
      </c>
      <c r="BN2" s="7" t="s">
        <v>59</v>
      </c>
      <c r="BO2" s="7" t="s">
        <v>60</v>
      </c>
      <c r="BP2" s="7" t="s">
        <v>61</v>
      </c>
      <c r="BQ2" s="7" t="s">
        <v>62</v>
      </c>
      <c r="BR2" s="19" t="s">
        <v>63</v>
      </c>
      <c r="BS2" s="12" t="s">
        <v>64</v>
      </c>
      <c r="BT2" s="7" t="s">
        <v>65</v>
      </c>
      <c r="BU2" s="7" t="s">
        <v>66</v>
      </c>
      <c r="BV2" s="7" t="s">
        <v>67</v>
      </c>
      <c r="BW2" s="7" t="s">
        <v>68</v>
      </c>
      <c r="BX2" s="7" t="s">
        <v>69</v>
      </c>
      <c r="BY2" s="20" t="s">
        <v>70</v>
      </c>
      <c r="BZ2" s="21" t="s">
        <v>71</v>
      </c>
      <c r="CA2" s="17" t="s">
        <v>72</v>
      </c>
      <c r="CB2" s="4" t="s">
        <v>73</v>
      </c>
      <c r="CC2" s="15" t="s">
        <v>74</v>
      </c>
      <c r="CD2" s="15" t="s">
        <v>75</v>
      </c>
      <c r="CE2" s="15" t="s">
        <v>76</v>
      </c>
      <c r="CF2" s="15" t="s">
        <v>77</v>
      </c>
      <c r="CG2" s="15" t="s">
        <v>78</v>
      </c>
      <c r="CH2" s="4" t="s">
        <v>79</v>
      </c>
      <c r="CI2" s="15" t="s">
        <v>80</v>
      </c>
      <c r="CJ2" s="22" t="s">
        <v>81</v>
      </c>
      <c r="CK2" s="17" t="s">
        <v>82</v>
      </c>
      <c r="CL2" s="4" t="s">
        <v>73</v>
      </c>
      <c r="CM2" s="15" t="s">
        <v>83</v>
      </c>
      <c r="CN2" s="15" t="s">
        <v>84</v>
      </c>
      <c r="CO2" s="15" t="s">
        <v>85</v>
      </c>
      <c r="CP2" s="15" t="s">
        <v>78</v>
      </c>
      <c r="CQ2" s="4" t="s">
        <v>79</v>
      </c>
      <c r="CR2" s="15" t="s">
        <v>80</v>
      </c>
      <c r="CS2" s="22" t="s">
        <v>81</v>
      </c>
      <c r="CT2" s="17" t="s">
        <v>86</v>
      </c>
      <c r="CU2" s="15" t="s">
        <v>87</v>
      </c>
      <c r="CV2" s="22" t="s">
        <v>88</v>
      </c>
      <c r="CW2" s="17" t="s">
        <v>89</v>
      </c>
      <c r="CX2" s="4" t="s">
        <v>90</v>
      </c>
      <c r="CY2" s="4" t="s">
        <v>91</v>
      </c>
      <c r="CZ2" s="18" t="s">
        <v>92</v>
      </c>
      <c r="DA2" s="17" t="s">
        <v>93</v>
      </c>
      <c r="DB2" s="15" t="s">
        <v>87</v>
      </c>
      <c r="DC2" s="22" t="s">
        <v>88</v>
      </c>
      <c r="DD2" s="14" t="s">
        <v>89</v>
      </c>
      <c r="DE2" s="4" t="s">
        <v>90</v>
      </c>
      <c r="DF2" s="4" t="s">
        <v>91</v>
      </c>
      <c r="DG2" s="5" t="s">
        <v>92</v>
      </c>
      <c r="DH2" s="12" t="s">
        <v>7</v>
      </c>
      <c r="DI2" s="7" t="s">
        <v>94</v>
      </c>
      <c r="DJ2" s="7" t="s">
        <v>95</v>
      </c>
      <c r="DK2" s="8" t="s">
        <v>96</v>
      </c>
      <c r="DL2" s="9" t="s">
        <v>97</v>
      </c>
      <c r="DM2" s="10" t="s">
        <v>57</v>
      </c>
      <c r="DN2" s="10" t="s">
        <v>58</v>
      </c>
      <c r="DO2" s="10" t="s">
        <v>59</v>
      </c>
      <c r="DP2" s="10" t="s">
        <v>60</v>
      </c>
      <c r="DQ2" s="10" t="s">
        <v>61</v>
      </c>
      <c r="DR2" s="10" t="s">
        <v>62</v>
      </c>
      <c r="DS2" s="10" t="s">
        <v>63</v>
      </c>
      <c r="DT2" s="7" t="s">
        <v>98</v>
      </c>
      <c r="DU2" s="10" t="s">
        <v>64</v>
      </c>
      <c r="DV2" s="10" t="s">
        <v>65</v>
      </c>
      <c r="DW2" s="10" t="s">
        <v>66</v>
      </c>
      <c r="DX2" s="10" t="s">
        <v>67</v>
      </c>
      <c r="DY2" s="10" t="s">
        <v>68</v>
      </c>
      <c r="DZ2" s="10" t="s">
        <v>69</v>
      </c>
      <c r="EA2" s="10" t="s">
        <v>70</v>
      </c>
    </row>
    <row r="3" customFormat="false" ht="13.8" hidden="false" customHeight="false" outlineLevel="0" collapsed="false">
      <c r="A3" s="23" t="s">
        <v>99</v>
      </c>
      <c r="B3" s="24" t="s">
        <v>100</v>
      </c>
      <c r="C3" s="25" t="s">
        <v>101</v>
      </c>
      <c r="D3" s="23" t="s">
        <v>102</v>
      </c>
      <c r="E3" s="23" t="n">
        <v>7.240512</v>
      </c>
      <c r="F3" s="26" t="n">
        <v>43.689186</v>
      </c>
      <c r="G3" s="27" t="s">
        <v>103</v>
      </c>
      <c r="H3" s="28" t="n">
        <v>129</v>
      </c>
      <c r="I3" s="28" t="s">
        <v>104</v>
      </c>
      <c r="J3" s="28" t="s">
        <v>105</v>
      </c>
      <c r="K3" s="28" t="s">
        <v>106</v>
      </c>
      <c r="L3" s="28" t="s">
        <v>107</v>
      </c>
      <c r="M3" s="28" t="s">
        <v>104</v>
      </c>
      <c r="N3" s="28" t="s">
        <v>104</v>
      </c>
      <c r="O3" s="29" t="s">
        <v>108</v>
      </c>
      <c r="P3" s="30"/>
      <c r="Q3" s="31"/>
      <c r="R3" s="31"/>
      <c r="S3" s="28" t="s">
        <v>104</v>
      </c>
      <c r="T3" s="31"/>
      <c r="U3" s="31"/>
      <c r="V3" s="31"/>
      <c r="W3" s="32"/>
      <c r="X3" s="33"/>
      <c r="Y3" s="28"/>
      <c r="Z3" s="28"/>
      <c r="AA3" s="28"/>
      <c r="AB3" s="28"/>
      <c r="AC3" s="28"/>
      <c r="AD3" s="28"/>
      <c r="AE3" s="34"/>
      <c r="AF3" s="35" t="n">
        <v>0</v>
      </c>
      <c r="AG3" s="23" t="s">
        <v>104</v>
      </c>
      <c r="AH3" s="23" t="s">
        <v>104</v>
      </c>
      <c r="AI3" s="23" t="s">
        <v>104</v>
      </c>
      <c r="AJ3" s="36" t="n">
        <v>0</v>
      </c>
      <c r="AK3" s="23" t="s">
        <v>109</v>
      </c>
      <c r="AL3" s="23" t="s">
        <v>109</v>
      </c>
      <c r="AM3" s="23" t="s">
        <v>109</v>
      </c>
      <c r="AN3" s="23" t="s">
        <v>104</v>
      </c>
      <c r="AO3" s="24" t="s">
        <v>104</v>
      </c>
      <c r="AP3" s="37" t="n">
        <v>4</v>
      </c>
      <c r="AQ3" s="23" t="n">
        <v>0</v>
      </c>
      <c r="AR3" s="23" t="n">
        <v>0</v>
      </c>
      <c r="AS3" s="38" t="n">
        <v>0</v>
      </c>
      <c r="AT3" s="39" t="s">
        <v>110</v>
      </c>
      <c r="AU3" s="23" t="s">
        <v>110</v>
      </c>
      <c r="AV3" s="23" t="s">
        <v>110</v>
      </c>
      <c r="AW3" s="23" t="s">
        <v>110</v>
      </c>
      <c r="AX3" s="23" t="s">
        <v>104</v>
      </c>
      <c r="AY3" s="40" t="s">
        <v>110</v>
      </c>
      <c r="AZ3" s="33"/>
      <c r="BA3" s="41"/>
      <c r="BB3" s="28" t="s">
        <v>111</v>
      </c>
      <c r="BC3" s="28" t="s">
        <v>111</v>
      </c>
      <c r="BD3" s="28" t="s">
        <v>112</v>
      </c>
      <c r="BE3" s="28" t="s">
        <v>111</v>
      </c>
      <c r="BF3" s="42"/>
      <c r="BG3" s="43"/>
      <c r="BH3" s="28"/>
      <c r="BI3" s="44"/>
      <c r="BJ3" s="43"/>
      <c r="BK3" s="44"/>
      <c r="BL3" s="43" t="s">
        <v>112</v>
      </c>
      <c r="BM3" s="28"/>
      <c r="BN3" s="28" t="s">
        <v>112</v>
      </c>
      <c r="BO3" s="28" t="s">
        <v>112</v>
      </c>
      <c r="BP3" s="28" t="s">
        <v>112</v>
      </c>
      <c r="BQ3" s="28" t="s">
        <v>112</v>
      </c>
      <c r="BR3" s="44"/>
      <c r="BS3" s="28" t="s">
        <v>112</v>
      </c>
      <c r="BT3" s="28" t="s">
        <v>112</v>
      </c>
      <c r="BU3" s="28"/>
      <c r="BV3" s="28" t="s">
        <v>112</v>
      </c>
      <c r="BW3" s="28" t="s">
        <v>112</v>
      </c>
      <c r="BX3" s="28" t="s">
        <v>112</v>
      </c>
      <c r="BY3" s="34" t="s">
        <v>112</v>
      </c>
      <c r="BZ3" s="45" t="s">
        <v>110</v>
      </c>
      <c r="CA3" s="37" t="s">
        <v>110</v>
      </c>
      <c r="CB3" s="41"/>
      <c r="CC3" s="23" t="s">
        <v>113</v>
      </c>
      <c r="CD3" s="23" t="s">
        <v>113</v>
      </c>
      <c r="CE3" s="23" t="s">
        <v>110</v>
      </c>
      <c r="CF3" s="23" t="s">
        <v>113</v>
      </c>
      <c r="CG3" s="23" t="s">
        <v>113</v>
      </c>
      <c r="CH3" s="41"/>
      <c r="CI3" s="31"/>
      <c r="CJ3" s="32"/>
      <c r="CK3" s="37" t="s">
        <v>113</v>
      </c>
      <c r="CL3" s="41"/>
      <c r="CM3" s="23" t="s">
        <v>113</v>
      </c>
      <c r="CN3" s="23" t="s">
        <v>110</v>
      </c>
      <c r="CO3" s="23" t="s">
        <v>113</v>
      </c>
      <c r="CP3" s="23" t="s">
        <v>113</v>
      </c>
      <c r="CQ3" s="41"/>
      <c r="CR3" s="31"/>
      <c r="CS3" s="32"/>
      <c r="CT3" s="37" t="s">
        <v>104</v>
      </c>
      <c r="CU3" s="23" t="n">
        <v>3</v>
      </c>
      <c r="CV3" s="38" t="n">
        <v>6</v>
      </c>
      <c r="CW3" s="37"/>
      <c r="CX3" s="23"/>
      <c r="CY3" s="23"/>
      <c r="CZ3" s="38"/>
      <c r="DA3" s="37"/>
      <c r="DB3" s="23"/>
      <c r="DC3" s="38"/>
      <c r="DD3" s="39"/>
      <c r="DE3" s="23"/>
      <c r="DF3" s="23"/>
      <c r="DG3" s="40"/>
      <c r="DH3" s="33" t="n">
        <v>129</v>
      </c>
      <c r="DI3" s="28"/>
      <c r="DJ3" s="28"/>
      <c r="DK3" s="29" t="n">
        <v>6</v>
      </c>
      <c r="DL3" s="46" t="n">
        <f aca="false">SUM(DM3:DS3)</f>
        <v>0.65</v>
      </c>
      <c r="DM3" s="47" t="n">
        <v>0.58</v>
      </c>
      <c r="DN3" s="47" t="n">
        <v>0</v>
      </c>
      <c r="DO3" s="47" t="n">
        <v>0.04</v>
      </c>
      <c r="DP3" s="47" t="n">
        <v>0.02</v>
      </c>
      <c r="DQ3" s="47" t="n">
        <v>0.01</v>
      </c>
      <c r="DR3" s="47" t="n">
        <v>0</v>
      </c>
      <c r="DS3" s="47" t="n">
        <v>0</v>
      </c>
      <c r="DT3" s="48" t="n">
        <f aca="false">SUM(DU3:EA3)</f>
        <v>0.36</v>
      </c>
      <c r="DU3" s="47" t="n">
        <v>0.01</v>
      </c>
      <c r="DV3" s="47" t="n">
        <v>0</v>
      </c>
      <c r="DW3" s="47" t="n">
        <v>0.01</v>
      </c>
      <c r="DX3" s="47" t="n">
        <v>0</v>
      </c>
      <c r="DY3" s="47" t="n">
        <v>0.09</v>
      </c>
      <c r="DZ3" s="47" t="n">
        <v>0.25</v>
      </c>
      <c r="EA3" s="47" t="n">
        <v>0</v>
      </c>
    </row>
    <row r="4" customFormat="false" ht="13.8" hidden="false" customHeight="false" outlineLevel="0" collapsed="false">
      <c r="A4" s="23" t="s">
        <v>114</v>
      </c>
      <c r="B4" s="24" t="s">
        <v>115</v>
      </c>
      <c r="C4" s="25" t="s">
        <v>116</v>
      </c>
      <c r="D4" s="23" t="s">
        <v>117</v>
      </c>
      <c r="E4" s="23" t="n">
        <v>7.754599</v>
      </c>
      <c r="F4" s="26" t="n">
        <v>48.591522</v>
      </c>
      <c r="G4" s="27" t="s">
        <v>103</v>
      </c>
      <c r="H4" s="28" t="n">
        <v>97</v>
      </c>
      <c r="I4" s="28" t="n">
        <v>2020</v>
      </c>
      <c r="J4" s="28" t="s">
        <v>105</v>
      </c>
      <c r="K4" s="28" t="s">
        <v>118</v>
      </c>
      <c r="L4" s="28" t="s">
        <v>119</v>
      </c>
      <c r="M4" s="28" t="n">
        <v>2025</v>
      </c>
      <c r="N4" s="28" t="n">
        <v>2025</v>
      </c>
      <c r="O4" s="29" t="s">
        <v>120</v>
      </c>
      <c r="P4" s="30"/>
      <c r="Q4" s="31"/>
      <c r="R4" s="31"/>
      <c r="S4" s="47" t="n">
        <v>0.7</v>
      </c>
      <c r="T4" s="28" t="s">
        <v>121</v>
      </c>
      <c r="U4" s="47" t="n">
        <v>0.6</v>
      </c>
      <c r="V4" s="28" t="s">
        <v>122</v>
      </c>
      <c r="W4" s="49" t="n">
        <v>0.8</v>
      </c>
      <c r="X4" s="33"/>
      <c r="Y4" s="28"/>
      <c r="Z4" s="28"/>
      <c r="AA4" s="28"/>
      <c r="AB4" s="28"/>
      <c r="AC4" s="28"/>
      <c r="AD4" s="28"/>
      <c r="AE4" s="34"/>
      <c r="AF4" s="50" t="n">
        <v>0</v>
      </c>
      <c r="AG4" s="31" t="s">
        <v>123</v>
      </c>
      <c r="AH4" s="31" t="s">
        <v>124</v>
      </c>
      <c r="AI4" s="31" t="s">
        <v>125</v>
      </c>
      <c r="AJ4" s="36" t="n">
        <v>0</v>
      </c>
      <c r="AK4" s="23" t="s">
        <v>109</v>
      </c>
      <c r="AL4" s="23" t="s">
        <v>109</v>
      </c>
      <c r="AM4" s="23" t="s">
        <v>109</v>
      </c>
      <c r="AN4" s="23" t="s">
        <v>113</v>
      </c>
      <c r="AO4" s="24" t="s">
        <v>110</v>
      </c>
      <c r="AP4" s="37" t="n">
        <v>0</v>
      </c>
      <c r="AQ4" s="23" t="n">
        <v>0</v>
      </c>
      <c r="AR4" s="23" t="n">
        <v>0</v>
      </c>
      <c r="AS4" s="38" t="n">
        <v>0</v>
      </c>
      <c r="AT4" s="39" t="s">
        <v>113</v>
      </c>
      <c r="AU4" s="23" t="s">
        <v>113</v>
      </c>
      <c r="AV4" s="23" t="s">
        <v>110</v>
      </c>
      <c r="AW4" s="23" t="s">
        <v>110</v>
      </c>
      <c r="AX4" s="23" t="s">
        <v>113</v>
      </c>
      <c r="AY4" s="40" t="s">
        <v>110</v>
      </c>
      <c r="AZ4" s="51" t="n">
        <v>0.6</v>
      </c>
      <c r="BA4" s="52"/>
      <c r="BB4" s="28" t="s">
        <v>111</v>
      </c>
      <c r="BC4" s="28" t="s">
        <v>111</v>
      </c>
      <c r="BD4" s="28" t="s">
        <v>112</v>
      </c>
      <c r="BE4" s="28" t="s">
        <v>111</v>
      </c>
      <c r="BF4" s="42"/>
      <c r="BG4" s="53" t="n">
        <v>0.4</v>
      </c>
      <c r="BH4" s="47"/>
      <c r="BI4" s="49"/>
      <c r="BJ4" s="53" t="n">
        <v>0.6</v>
      </c>
      <c r="BK4" s="49" t="n">
        <v>0.4</v>
      </c>
      <c r="BL4" s="43" t="s">
        <v>112</v>
      </c>
      <c r="BM4" s="28"/>
      <c r="BN4" s="28" t="s">
        <v>112</v>
      </c>
      <c r="BO4" s="28" t="s">
        <v>112</v>
      </c>
      <c r="BP4" s="28" t="s">
        <v>112</v>
      </c>
      <c r="BQ4" s="28" t="s">
        <v>112</v>
      </c>
      <c r="BR4" s="44"/>
      <c r="BS4" s="28" t="s">
        <v>112</v>
      </c>
      <c r="BT4" s="28" t="s">
        <v>112</v>
      </c>
      <c r="BU4" s="28"/>
      <c r="BV4" s="28"/>
      <c r="BW4" s="28"/>
      <c r="BX4" s="28"/>
      <c r="BY4" s="34"/>
      <c r="BZ4" s="45" t="s">
        <v>110</v>
      </c>
      <c r="CA4" s="37" t="s">
        <v>110</v>
      </c>
      <c r="CB4" s="41"/>
      <c r="CC4" s="23" t="s">
        <v>110</v>
      </c>
      <c r="CD4" s="23" t="s">
        <v>110</v>
      </c>
      <c r="CE4" s="23" t="s">
        <v>110</v>
      </c>
      <c r="CF4" s="23" t="s">
        <v>113</v>
      </c>
      <c r="CG4" s="23" t="s">
        <v>113</v>
      </c>
      <c r="CH4" s="41"/>
      <c r="CI4" s="23" t="s">
        <v>112</v>
      </c>
      <c r="CJ4" s="38"/>
      <c r="CK4" s="37" t="s">
        <v>113</v>
      </c>
      <c r="CL4" s="41"/>
      <c r="CM4" s="23" t="s">
        <v>110</v>
      </c>
      <c r="CN4" s="23" t="s">
        <v>110</v>
      </c>
      <c r="CO4" s="23" t="s">
        <v>113</v>
      </c>
      <c r="CP4" s="23" t="s">
        <v>113</v>
      </c>
      <c r="CQ4" s="41"/>
      <c r="CR4" s="23" t="s">
        <v>112</v>
      </c>
      <c r="CS4" s="38"/>
      <c r="CT4" s="37" t="s">
        <v>104</v>
      </c>
      <c r="CU4" s="23" t="n">
        <v>2</v>
      </c>
      <c r="CV4" s="38" t="n">
        <v>2</v>
      </c>
      <c r="CW4" s="37"/>
      <c r="CX4" s="23"/>
      <c r="CY4" s="23"/>
      <c r="CZ4" s="38"/>
      <c r="DA4" s="37" t="n">
        <v>100</v>
      </c>
      <c r="DB4" s="23" t="n">
        <v>3</v>
      </c>
      <c r="DC4" s="38" t="n">
        <v>3</v>
      </c>
      <c r="DD4" s="39" t="s">
        <v>110</v>
      </c>
      <c r="DE4" s="23" t="s">
        <v>110</v>
      </c>
      <c r="DF4" s="23" t="s">
        <v>110</v>
      </c>
      <c r="DG4" s="40" t="s">
        <v>110</v>
      </c>
      <c r="DH4" s="33" t="n">
        <v>97</v>
      </c>
      <c r="DI4" s="28" t="s">
        <v>126</v>
      </c>
      <c r="DJ4" s="47" t="n">
        <v>0.7</v>
      </c>
      <c r="DK4" s="29" t="n">
        <v>2</v>
      </c>
      <c r="DL4" s="46" t="n">
        <f aca="false">SUM(DM4:DS4)</f>
        <v>1</v>
      </c>
      <c r="DM4" s="47" t="n">
        <v>0.63</v>
      </c>
      <c r="DN4" s="47" t="n">
        <v>0</v>
      </c>
      <c r="DO4" s="47" t="n">
        <v>0.06</v>
      </c>
      <c r="DP4" s="47" t="n">
        <v>0.08</v>
      </c>
      <c r="DQ4" s="47" t="n">
        <v>0.22</v>
      </c>
      <c r="DR4" s="47" t="n">
        <v>0.01</v>
      </c>
      <c r="DS4" s="47" t="n">
        <v>0</v>
      </c>
      <c r="DT4" s="48" t="n">
        <f aca="false">SUM(DU4:EA4)</f>
        <v>0</v>
      </c>
      <c r="DU4" s="47" t="n">
        <v>0</v>
      </c>
      <c r="DV4" s="47" t="n">
        <v>0</v>
      </c>
      <c r="DW4" s="47" t="n">
        <v>0</v>
      </c>
      <c r="DX4" s="47" t="n">
        <v>0</v>
      </c>
      <c r="DY4" s="47" t="n">
        <v>0</v>
      </c>
      <c r="DZ4" s="47" t="n">
        <v>0</v>
      </c>
      <c r="EA4" s="47" t="n">
        <v>0</v>
      </c>
    </row>
    <row r="5" customFormat="false" ht="13.8" hidden="false" customHeight="false" outlineLevel="0" collapsed="false">
      <c r="A5" s="23" t="s">
        <v>127</v>
      </c>
      <c r="B5" s="24" t="s">
        <v>128</v>
      </c>
      <c r="C5" s="25" t="s">
        <v>129</v>
      </c>
      <c r="D5" s="23" t="s">
        <v>130</v>
      </c>
      <c r="E5" s="23" t="n">
        <v>2.519843</v>
      </c>
      <c r="F5" s="26" t="n">
        <v>49.006733</v>
      </c>
      <c r="G5" s="27" t="s">
        <v>131</v>
      </c>
      <c r="H5" s="28" t="n">
        <v>309</v>
      </c>
      <c r="I5" s="28" t="n">
        <v>2015</v>
      </c>
      <c r="J5" s="28" t="s">
        <v>105</v>
      </c>
      <c r="K5" s="28" t="s">
        <v>132</v>
      </c>
      <c r="L5" s="28" t="s">
        <v>133</v>
      </c>
      <c r="M5" s="28" t="n">
        <v>2015</v>
      </c>
      <c r="N5" s="28" t="n">
        <v>2015</v>
      </c>
      <c r="O5" s="29" t="s">
        <v>108</v>
      </c>
      <c r="P5" s="30"/>
      <c r="Q5" s="31"/>
      <c r="R5" s="31"/>
      <c r="S5" s="47" t="n">
        <v>0.95</v>
      </c>
      <c r="T5" s="28" t="s">
        <v>121</v>
      </c>
      <c r="U5" s="47" t="n">
        <v>0.91</v>
      </c>
      <c r="V5" s="28" t="s">
        <v>134</v>
      </c>
      <c r="W5" s="49" t="n">
        <v>0.98</v>
      </c>
      <c r="X5" s="33"/>
      <c r="Y5" s="28"/>
      <c r="Z5" s="28"/>
      <c r="AA5" s="28"/>
      <c r="AB5" s="28"/>
      <c r="AC5" s="28"/>
      <c r="AD5" s="28"/>
      <c r="AE5" s="34"/>
      <c r="AF5" s="35" t="n">
        <v>1</v>
      </c>
      <c r="AG5" s="23" t="s">
        <v>135</v>
      </c>
      <c r="AH5" s="23" t="s">
        <v>125</v>
      </c>
      <c r="AI5" s="23" t="s">
        <v>125</v>
      </c>
      <c r="AJ5" s="36" t="n">
        <v>1</v>
      </c>
      <c r="AK5" s="23" t="s">
        <v>136</v>
      </c>
      <c r="AL5" s="23" t="s">
        <v>125</v>
      </c>
      <c r="AM5" s="23" t="s">
        <v>125</v>
      </c>
      <c r="AN5" s="23" t="s">
        <v>113</v>
      </c>
      <c r="AO5" s="24" t="s">
        <v>113</v>
      </c>
      <c r="AP5" s="37" t="n">
        <v>1</v>
      </c>
      <c r="AQ5" s="23" t="n">
        <v>0</v>
      </c>
      <c r="AR5" s="23" t="n">
        <v>0</v>
      </c>
      <c r="AS5" s="38" t="n">
        <v>0</v>
      </c>
      <c r="AT5" s="39" t="s">
        <v>113</v>
      </c>
      <c r="AU5" s="23" t="s">
        <v>110</v>
      </c>
      <c r="AV5" s="23" t="s">
        <v>110</v>
      </c>
      <c r="AW5" s="23" t="s">
        <v>110</v>
      </c>
      <c r="AX5" s="23" t="s">
        <v>110</v>
      </c>
      <c r="AY5" s="40" t="s">
        <v>110</v>
      </c>
      <c r="AZ5" s="33" t="n">
        <v>80</v>
      </c>
      <c r="BA5" s="41"/>
      <c r="BB5" s="28" t="s">
        <v>111</v>
      </c>
      <c r="BC5" s="28" t="s">
        <v>111</v>
      </c>
      <c r="BD5" s="28" t="s">
        <v>111</v>
      </c>
      <c r="BE5" s="28" t="s">
        <v>112</v>
      </c>
      <c r="BF5" s="42"/>
      <c r="BG5" s="43" t="n">
        <v>20</v>
      </c>
      <c r="BH5" s="28"/>
      <c r="BI5" s="44"/>
      <c r="BJ5" s="43" t="n">
        <v>70</v>
      </c>
      <c r="BK5" s="44" t="n">
        <v>30</v>
      </c>
      <c r="BL5" s="43" t="s">
        <v>112</v>
      </c>
      <c r="BM5" s="28" t="s">
        <v>112</v>
      </c>
      <c r="BN5" s="28" t="s">
        <v>112</v>
      </c>
      <c r="BO5" s="28" t="s">
        <v>112</v>
      </c>
      <c r="BP5" s="28" t="s">
        <v>112</v>
      </c>
      <c r="BQ5" s="28" t="s">
        <v>112</v>
      </c>
      <c r="BR5" s="44"/>
      <c r="BS5" s="28" t="s">
        <v>112</v>
      </c>
      <c r="BT5" s="28" t="s">
        <v>112</v>
      </c>
      <c r="BU5" s="28"/>
      <c r="BV5" s="28"/>
      <c r="BW5" s="28"/>
      <c r="BX5" s="28"/>
      <c r="BY5" s="34" t="s">
        <v>112</v>
      </c>
      <c r="BZ5" s="45" t="s">
        <v>110</v>
      </c>
      <c r="CA5" s="37" t="s">
        <v>110</v>
      </c>
      <c r="CB5" s="41"/>
      <c r="CC5" s="23" t="s">
        <v>110</v>
      </c>
      <c r="CD5" s="23" t="s">
        <v>110</v>
      </c>
      <c r="CE5" s="23" t="s">
        <v>110</v>
      </c>
      <c r="CF5" s="23" t="s">
        <v>113</v>
      </c>
      <c r="CG5" s="23" t="s">
        <v>113</v>
      </c>
      <c r="CH5" s="41"/>
      <c r="CI5" s="23" t="s">
        <v>112</v>
      </c>
      <c r="CJ5" s="38"/>
      <c r="CK5" s="37" t="s">
        <v>110</v>
      </c>
      <c r="CL5" s="41"/>
      <c r="CM5" s="23" t="s">
        <v>110</v>
      </c>
      <c r="CN5" s="23" t="s">
        <v>110</v>
      </c>
      <c r="CO5" s="23" t="s">
        <v>113</v>
      </c>
      <c r="CP5" s="23" t="s">
        <v>113</v>
      </c>
      <c r="CQ5" s="41"/>
      <c r="CR5" s="23" t="s">
        <v>112</v>
      </c>
      <c r="CS5" s="38"/>
      <c r="CT5" s="37" t="s">
        <v>104</v>
      </c>
      <c r="CU5" s="23"/>
      <c r="CV5" s="38"/>
      <c r="CW5" s="37"/>
      <c r="CX5" s="23"/>
      <c r="CY5" s="23"/>
      <c r="CZ5" s="38"/>
      <c r="DA5" s="37"/>
      <c r="DB5" s="23"/>
      <c r="DC5" s="38"/>
      <c r="DD5" s="39"/>
      <c r="DE5" s="23"/>
      <c r="DF5" s="23"/>
      <c r="DG5" s="40"/>
      <c r="DH5" s="33" t="n">
        <v>309</v>
      </c>
      <c r="DI5" s="28" t="s">
        <v>137</v>
      </c>
      <c r="DJ5" s="47" t="n">
        <v>0.95</v>
      </c>
      <c r="DK5" s="29" t="n">
        <v>5</v>
      </c>
      <c r="DL5" s="46" t="n">
        <f aca="false">SUM(DM5:DS5)</f>
        <v>0</v>
      </c>
      <c r="DM5" s="47"/>
      <c r="DN5" s="47"/>
      <c r="DO5" s="47"/>
      <c r="DP5" s="47"/>
      <c r="DQ5" s="47"/>
      <c r="DR5" s="47"/>
      <c r="DS5" s="47"/>
      <c r="DT5" s="48" t="n">
        <f aca="false">SUM(DU5:EA5)</f>
        <v>0</v>
      </c>
      <c r="DU5" s="47"/>
      <c r="DV5" s="47"/>
      <c r="DW5" s="47"/>
      <c r="DX5" s="47"/>
      <c r="DY5" s="47"/>
      <c r="DZ5" s="47"/>
      <c r="EA5" s="47"/>
    </row>
    <row r="6" customFormat="false" ht="13.8" hidden="false" customHeight="false" outlineLevel="0" collapsed="false">
      <c r="A6" s="23" t="s">
        <v>138</v>
      </c>
      <c r="B6" s="24" t="s">
        <v>139</v>
      </c>
      <c r="C6" s="25" t="s">
        <v>140</v>
      </c>
      <c r="D6" s="23" t="s">
        <v>141</v>
      </c>
      <c r="E6" s="23" t="n">
        <v>6.6190552711</v>
      </c>
      <c r="F6" s="26" t="n">
        <v>45.8591651916</v>
      </c>
      <c r="G6" s="27" t="s">
        <v>142</v>
      </c>
      <c r="H6" s="28" t="n">
        <v>572</v>
      </c>
      <c r="I6" s="28" t="s">
        <v>104</v>
      </c>
      <c r="J6" s="28" t="s">
        <v>105</v>
      </c>
      <c r="K6" s="28" t="s">
        <v>143</v>
      </c>
      <c r="L6" s="28" t="s">
        <v>144</v>
      </c>
      <c r="M6" s="28" t="s">
        <v>104</v>
      </c>
      <c r="N6" s="28" t="s">
        <v>104</v>
      </c>
      <c r="O6" s="29" t="s">
        <v>108</v>
      </c>
      <c r="P6" s="30"/>
      <c r="Q6" s="31"/>
      <c r="R6" s="31"/>
      <c r="S6" s="28" t="s">
        <v>104</v>
      </c>
      <c r="T6" s="31"/>
      <c r="U6" s="31"/>
      <c r="V6" s="31"/>
      <c r="W6" s="32"/>
      <c r="X6" s="33"/>
      <c r="Y6" s="28"/>
      <c r="Z6" s="28"/>
      <c r="AA6" s="28"/>
      <c r="AB6" s="28"/>
      <c r="AC6" s="28"/>
      <c r="AD6" s="28"/>
      <c r="AE6" s="34"/>
      <c r="AF6" s="35" t="n">
        <v>1</v>
      </c>
      <c r="AG6" s="23" t="s">
        <v>104</v>
      </c>
      <c r="AH6" s="23" t="s">
        <v>104</v>
      </c>
      <c r="AI6" s="23" t="s">
        <v>104</v>
      </c>
      <c r="AJ6" s="36" t="n">
        <v>1</v>
      </c>
      <c r="AK6" s="23" t="s">
        <v>104</v>
      </c>
      <c r="AL6" s="23" t="s">
        <v>104</v>
      </c>
      <c r="AM6" s="23" t="s">
        <v>104</v>
      </c>
      <c r="AN6" s="23" t="s">
        <v>104</v>
      </c>
      <c r="AO6" s="24" t="s">
        <v>104</v>
      </c>
      <c r="AP6" s="37" t="n">
        <v>3</v>
      </c>
      <c r="AQ6" s="23" t="n">
        <v>2</v>
      </c>
      <c r="AR6" s="23" t="n">
        <v>0</v>
      </c>
      <c r="AS6" s="38" t="n">
        <v>1</v>
      </c>
      <c r="AT6" s="39" t="s">
        <v>113</v>
      </c>
      <c r="AU6" s="23" t="s">
        <v>113</v>
      </c>
      <c r="AV6" s="23" t="s">
        <v>113</v>
      </c>
      <c r="AW6" s="23" t="s">
        <v>113</v>
      </c>
      <c r="AX6" s="23" t="s">
        <v>113</v>
      </c>
      <c r="AY6" s="40" t="s">
        <v>110</v>
      </c>
      <c r="AZ6" s="33"/>
      <c r="BA6" s="41"/>
      <c r="BB6" s="28" t="s">
        <v>111</v>
      </c>
      <c r="BC6" s="28" t="s">
        <v>111</v>
      </c>
      <c r="BD6" s="28" t="s">
        <v>111</v>
      </c>
      <c r="BE6" s="28" t="s">
        <v>112</v>
      </c>
      <c r="BF6" s="42"/>
      <c r="BG6" s="43"/>
      <c r="BH6" s="28"/>
      <c r="BI6" s="44"/>
      <c r="BJ6" s="43"/>
      <c r="BK6" s="44"/>
      <c r="BL6" s="43" t="s">
        <v>112</v>
      </c>
      <c r="BM6" s="28" t="s">
        <v>112</v>
      </c>
      <c r="BN6" s="28" t="s">
        <v>112</v>
      </c>
      <c r="BO6" s="28"/>
      <c r="BP6" s="28" t="s">
        <v>112</v>
      </c>
      <c r="BQ6" s="28"/>
      <c r="BR6" s="44" t="s">
        <v>112</v>
      </c>
      <c r="BS6" s="33" t="s">
        <v>112</v>
      </c>
      <c r="BT6" s="28" t="s">
        <v>112</v>
      </c>
      <c r="BU6" s="28" t="s">
        <v>112</v>
      </c>
      <c r="BV6" s="28" t="s">
        <v>112</v>
      </c>
      <c r="BW6" s="28" t="s">
        <v>112</v>
      </c>
      <c r="BX6" s="28" t="s">
        <v>112</v>
      </c>
      <c r="BY6" s="34" t="s">
        <v>112</v>
      </c>
      <c r="BZ6" s="45" t="s">
        <v>113</v>
      </c>
      <c r="CA6" s="37" t="s">
        <v>113</v>
      </c>
      <c r="CB6" s="41"/>
      <c r="CC6" s="23" t="s">
        <v>110</v>
      </c>
      <c r="CD6" s="23" t="s">
        <v>113</v>
      </c>
      <c r="CE6" s="23" t="s">
        <v>113</v>
      </c>
      <c r="CF6" s="23" t="s">
        <v>113</v>
      </c>
      <c r="CG6" s="23" t="s">
        <v>113</v>
      </c>
      <c r="CH6" s="41"/>
      <c r="CI6" s="23" t="s">
        <v>112</v>
      </c>
      <c r="CJ6" s="38"/>
      <c r="CK6" s="37" t="s">
        <v>110</v>
      </c>
      <c r="CL6" s="41"/>
      <c r="CM6" s="23" t="s">
        <v>110</v>
      </c>
      <c r="CN6" s="23" t="s">
        <v>113</v>
      </c>
      <c r="CO6" s="23" t="s">
        <v>113</v>
      </c>
      <c r="CP6" s="23" t="s">
        <v>113</v>
      </c>
      <c r="CQ6" s="41"/>
      <c r="CR6" s="23" t="s">
        <v>112</v>
      </c>
      <c r="CS6" s="38"/>
      <c r="CT6" s="37" t="s">
        <v>104</v>
      </c>
      <c r="CU6" s="23"/>
      <c r="CV6" s="38"/>
      <c r="CW6" s="37"/>
      <c r="CX6" s="23"/>
      <c r="CY6" s="23"/>
      <c r="CZ6" s="38"/>
      <c r="DA6" s="37"/>
      <c r="DB6" s="23"/>
      <c r="DC6" s="38"/>
      <c r="DD6" s="39"/>
      <c r="DE6" s="23"/>
      <c r="DF6" s="23"/>
      <c r="DG6" s="40"/>
      <c r="DH6" s="33" t="n">
        <v>572</v>
      </c>
      <c r="DI6" s="28"/>
      <c r="DJ6" s="28"/>
      <c r="DK6" s="29" t="n">
        <v>8</v>
      </c>
      <c r="DL6" s="46" t="n">
        <f aca="false">SUM(DM6:DS6)</f>
        <v>0.33</v>
      </c>
      <c r="DM6" s="47" t="n">
        <v>0.07</v>
      </c>
      <c r="DN6" s="47" t="n">
        <v>0.01</v>
      </c>
      <c r="DO6" s="47" t="n">
        <v>0.05</v>
      </c>
      <c r="DP6" s="47" t="n">
        <v>0.01</v>
      </c>
      <c r="DQ6" s="47" t="n">
        <v>0.17</v>
      </c>
      <c r="DR6" s="47" t="n">
        <v>0.02</v>
      </c>
      <c r="DS6" s="47" t="n">
        <v>0</v>
      </c>
      <c r="DT6" s="48" t="n">
        <f aca="false">SUM(DU6:EA6)</f>
        <v>0.68</v>
      </c>
      <c r="DU6" s="47" t="n">
        <v>0.11</v>
      </c>
      <c r="DV6" s="47" t="n">
        <v>0</v>
      </c>
      <c r="DW6" s="47" t="n">
        <v>0.07</v>
      </c>
      <c r="DX6" s="47" t="n">
        <v>0.14</v>
      </c>
      <c r="DY6" s="47" t="n">
        <v>0.12</v>
      </c>
      <c r="DZ6" s="47" t="n">
        <v>0.21</v>
      </c>
      <c r="EA6" s="47" t="n">
        <v>0.03</v>
      </c>
    </row>
    <row r="7" customFormat="false" ht="13.8" hidden="false" customHeight="false" outlineLevel="0" collapsed="false">
      <c r="A7" s="23" t="s">
        <v>145</v>
      </c>
      <c r="B7" s="24" t="s">
        <v>146</v>
      </c>
      <c r="C7" s="25" t="s">
        <v>147</v>
      </c>
      <c r="D7" s="23" t="s">
        <v>148</v>
      </c>
      <c r="E7" s="23" t="n">
        <v>2.282836</v>
      </c>
      <c r="F7" s="26" t="n">
        <v>48.849778</v>
      </c>
      <c r="G7" s="27" t="s">
        <v>142</v>
      </c>
      <c r="H7" s="28" t="n">
        <v>764</v>
      </c>
      <c r="I7" s="28" t="n">
        <v>1976</v>
      </c>
      <c r="J7" s="28" t="s">
        <v>149</v>
      </c>
      <c r="K7" s="28" t="s">
        <v>150</v>
      </c>
      <c r="L7" s="28" t="s">
        <v>151</v>
      </c>
      <c r="M7" s="28" t="s">
        <v>104</v>
      </c>
      <c r="N7" s="28" t="s">
        <v>104</v>
      </c>
      <c r="O7" s="29" t="s">
        <v>120</v>
      </c>
      <c r="P7" s="30"/>
      <c r="Q7" s="31"/>
      <c r="R7" s="31"/>
      <c r="S7" s="28" t="s">
        <v>104</v>
      </c>
      <c r="T7" s="31"/>
      <c r="U7" s="31"/>
      <c r="V7" s="31"/>
      <c r="W7" s="32"/>
      <c r="X7" s="33"/>
      <c r="Y7" s="28"/>
      <c r="Z7" s="28"/>
      <c r="AA7" s="28"/>
      <c r="AB7" s="28"/>
      <c r="AC7" s="28"/>
      <c r="AD7" s="28"/>
      <c r="AE7" s="34"/>
      <c r="AF7" s="35" t="n">
        <v>1</v>
      </c>
      <c r="AG7" s="23" t="s">
        <v>104</v>
      </c>
      <c r="AH7" s="23" t="s">
        <v>104</v>
      </c>
      <c r="AI7" s="23" t="s">
        <v>104</v>
      </c>
      <c r="AJ7" s="36" t="n">
        <v>3</v>
      </c>
      <c r="AK7" s="23" t="s">
        <v>104</v>
      </c>
      <c r="AL7" s="23" t="s">
        <v>104</v>
      </c>
      <c r="AM7" s="23" t="s">
        <v>104</v>
      </c>
      <c r="AN7" s="23" t="s">
        <v>104</v>
      </c>
      <c r="AO7" s="24" t="s">
        <v>104</v>
      </c>
      <c r="AP7" s="37" t="n">
        <v>36</v>
      </c>
      <c r="AQ7" s="23" t="n">
        <v>1</v>
      </c>
      <c r="AR7" s="23" t="n">
        <v>0</v>
      </c>
      <c r="AS7" s="38" t="n">
        <v>1</v>
      </c>
      <c r="AT7" s="39" t="s">
        <v>113</v>
      </c>
      <c r="AU7" s="23" t="s">
        <v>113</v>
      </c>
      <c r="AV7" s="23" t="s">
        <v>110</v>
      </c>
      <c r="AW7" s="23" t="s">
        <v>110</v>
      </c>
      <c r="AX7" s="23" t="s">
        <v>113</v>
      </c>
      <c r="AY7" s="40" t="s">
        <v>110</v>
      </c>
      <c r="AZ7" s="33"/>
      <c r="BA7" s="41"/>
      <c r="BB7" s="28" t="s">
        <v>111</v>
      </c>
      <c r="BC7" s="28" t="s">
        <v>111</v>
      </c>
      <c r="BD7" s="28" t="s">
        <v>111</v>
      </c>
      <c r="BE7" s="28" t="s">
        <v>112</v>
      </c>
      <c r="BF7" s="42"/>
      <c r="BG7" s="43"/>
      <c r="BH7" s="28"/>
      <c r="BI7" s="44"/>
      <c r="BJ7" s="43"/>
      <c r="BK7" s="44"/>
      <c r="BL7" s="43" t="s">
        <v>112</v>
      </c>
      <c r="BM7" s="28"/>
      <c r="BN7" s="28" t="s">
        <v>112</v>
      </c>
      <c r="BO7" s="28" t="s">
        <v>112</v>
      </c>
      <c r="BP7" s="28" t="s">
        <v>112</v>
      </c>
      <c r="BQ7" s="28" t="s">
        <v>112</v>
      </c>
      <c r="BR7" s="44" t="s">
        <v>112</v>
      </c>
      <c r="BS7" s="33" t="s">
        <v>112</v>
      </c>
      <c r="BT7" s="28" t="s">
        <v>112</v>
      </c>
      <c r="BU7" s="28" t="s">
        <v>112</v>
      </c>
      <c r="BV7" s="28" t="s">
        <v>112</v>
      </c>
      <c r="BW7" s="28" t="s">
        <v>112</v>
      </c>
      <c r="BX7" s="28" t="s">
        <v>112</v>
      </c>
      <c r="BY7" s="34" t="s">
        <v>112</v>
      </c>
      <c r="BZ7" s="45" t="s">
        <v>110</v>
      </c>
      <c r="CA7" s="37" t="s">
        <v>110</v>
      </c>
      <c r="CB7" s="41"/>
      <c r="CC7" s="23" t="s">
        <v>113</v>
      </c>
      <c r="CD7" s="23" t="s">
        <v>113</v>
      </c>
      <c r="CE7" s="23" t="s">
        <v>110</v>
      </c>
      <c r="CF7" s="23" t="s">
        <v>113</v>
      </c>
      <c r="CG7" s="23" t="s">
        <v>113</v>
      </c>
      <c r="CH7" s="41"/>
      <c r="CI7" s="31"/>
      <c r="CJ7" s="32"/>
      <c r="CK7" s="37" t="s">
        <v>113</v>
      </c>
      <c r="CL7" s="41"/>
      <c r="CM7" s="23" t="s">
        <v>113</v>
      </c>
      <c r="CN7" s="23" t="s">
        <v>110</v>
      </c>
      <c r="CO7" s="23" t="s">
        <v>113</v>
      </c>
      <c r="CP7" s="23" t="s">
        <v>113</v>
      </c>
      <c r="CQ7" s="41"/>
      <c r="CR7" s="31"/>
      <c r="CS7" s="32"/>
      <c r="CT7" s="37" t="s">
        <v>104</v>
      </c>
      <c r="CU7" s="23"/>
      <c r="CV7" s="38"/>
      <c r="CW7" s="37"/>
      <c r="CX7" s="23"/>
      <c r="CY7" s="23"/>
      <c r="CZ7" s="38"/>
      <c r="DA7" s="37"/>
      <c r="DB7" s="23"/>
      <c r="DC7" s="38"/>
      <c r="DD7" s="39"/>
      <c r="DE7" s="23"/>
      <c r="DF7" s="23"/>
      <c r="DG7" s="40"/>
      <c r="DH7" s="33" t="n">
        <v>764</v>
      </c>
      <c r="DI7" s="28"/>
      <c r="DJ7" s="28"/>
      <c r="DK7" s="29" t="n">
        <v>7</v>
      </c>
      <c r="DL7" s="46" t="n">
        <f aca="false">SUM(DM7:DS7)</f>
        <v>0.81</v>
      </c>
      <c r="DM7" s="47" t="n">
        <v>0.4</v>
      </c>
      <c r="DN7" s="47" t="n">
        <v>0</v>
      </c>
      <c r="DO7" s="47" t="n">
        <v>0.05</v>
      </c>
      <c r="DP7" s="47" t="n">
        <v>0.22</v>
      </c>
      <c r="DQ7" s="47" t="n">
        <v>0.12</v>
      </c>
      <c r="DR7" s="47" t="n">
        <v>0.02</v>
      </c>
      <c r="DS7" s="47" t="n">
        <v>0</v>
      </c>
      <c r="DT7" s="48" t="n">
        <f aca="false">SUM(DU7:EA7)</f>
        <v>0.2</v>
      </c>
      <c r="DU7" s="47" t="n">
        <v>0.13</v>
      </c>
      <c r="DV7" s="47" t="n">
        <v>0</v>
      </c>
      <c r="DW7" s="47" t="n">
        <v>0</v>
      </c>
      <c r="DX7" s="47" t="n">
        <v>0</v>
      </c>
      <c r="DY7" s="47" t="n">
        <v>0</v>
      </c>
      <c r="DZ7" s="47" t="n">
        <v>0.07</v>
      </c>
      <c r="EA7" s="47" t="n">
        <v>0</v>
      </c>
    </row>
    <row r="8" customFormat="false" ht="13.8" hidden="false" customHeight="false" outlineLevel="0" collapsed="false">
      <c r="A8" s="23" t="s">
        <v>152</v>
      </c>
      <c r="B8" s="24" t="s">
        <v>153</v>
      </c>
      <c r="C8" s="25" t="s">
        <v>154</v>
      </c>
      <c r="D8" s="23" t="s">
        <v>148</v>
      </c>
      <c r="E8" s="23" t="n">
        <v>2.329923</v>
      </c>
      <c r="F8" s="26" t="n">
        <v>48.885048</v>
      </c>
      <c r="G8" s="27" t="s">
        <v>155</v>
      </c>
      <c r="H8" s="28" t="n">
        <v>305</v>
      </c>
      <c r="I8" s="28" t="s">
        <v>104</v>
      </c>
      <c r="J8" s="28" t="s">
        <v>149</v>
      </c>
      <c r="K8" s="28" t="s">
        <v>150</v>
      </c>
      <c r="L8" s="28" t="s">
        <v>156</v>
      </c>
      <c r="M8" s="28" t="s">
        <v>104</v>
      </c>
      <c r="N8" s="28" t="s">
        <v>104</v>
      </c>
      <c r="O8" s="29" t="s">
        <v>120</v>
      </c>
      <c r="P8" s="30"/>
      <c r="Q8" s="31"/>
      <c r="R8" s="31"/>
      <c r="S8" s="28" t="s">
        <v>104</v>
      </c>
      <c r="T8" s="31"/>
      <c r="U8" s="31"/>
      <c r="V8" s="31"/>
      <c r="W8" s="32"/>
      <c r="X8" s="33"/>
      <c r="Y8" s="28"/>
      <c r="Z8" s="28"/>
      <c r="AA8" s="28"/>
      <c r="AB8" s="28"/>
      <c r="AC8" s="28"/>
      <c r="AD8" s="28"/>
      <c r="AE8" s="34"/>
      <c r="AF8" s="35" t="n">
        <v>0</v>
      </c>
      <c r="AG8" s="23" t="s">
        <v>104</v>
      </c>
      <c r="AH8" s="23" t="s">
        <v>104</v>
      </c>
      <c r="AI8" s="23" t="s">
        <v>104</v>
      </c>
      <c r="AJ8" s="36" t="n">
        <v>1</v>
      </c>
      <c r="AK8" s="23" t="s">
        <v>104</v>
      </c>
      <c r="AL8" s="23" t="s">
        <v>104</v>
      </c>
      <c r="AM8" s="23" t="s">
        <v>104</v>
      </c>
      <c r="AN8" s="23" t="s">
        <v>104</v>
      </c>
      <c r="AO8" s="24" t="s">
        <v>104</v>
      </c>
      <c r="AP8" s="37" t="n">
        <v>1</v>
      </c>
      <c r="AQ8" s="23" t="n">
        <v>1</v>
      </c>
      <c r="AR8" s="23" t="n">
        <v>0</v>
      </c>
      <c r="AS8" s="38" t="n">
        <v>0</v>
      </c>
      <c r="AT8" s="39" t="s">
        <v>110</v>
      </c>
      <c r="AU8" s="23" t="s">
        <v>113</v>
      </c>
      <c r="AV8" s="23" t="s">
        <v>113</v>
      </c>
      <c r="AW8" s="23" t="s">
        <v>113</v>
      </c>
      <c r="AX8" s="23" t="s">
        <v>113</v>
      </c>
      <c r="AY8" s="40" t="s">
        <v>110</v>
      </c>
      <c r="AZ8" s="33"/>
      <c r="BA8" s="41"/>
      <c r="BB8" s="28" t="s">
        <v>111</v>
      </c>
      <c r="BC8" s="28" t="s">
        <v>112</v>
      </c>
      <c r="BD8" s="28" t="s">
        <v>111</v>
      </c>
      <c r="BE8" s="28" t="s">
        <v>111</v>
      </c>
      <c r="BF8" s="42"/>
      <c r="BG8" s="43"/>
      <c r="BH8" s="28"/>
      <c r="BI8" s="44"/>
      <c r="BJ8" s="43"/>
      <c r="BK8" s="44"/>
      <c r="BL8" s="43" t="s">
        <v>112</v>
      </c>
      <c r="BM8" s="28" t="s">
        <v>112</v>
      </c>
      <c r="BN8" s="28" t="s">
        <v>112</v>
      </c>
      <c r="BO8" s="28" t="s">
        <v>112</v>
      </c>
      <c r="BP8" s="28" t="s">
        <v>112</v>
      </c>
      <c r="BQ8" s="28" t="s">
        <v>112</v>
      </c>
      <c r="BR8" s="44" t="s">
        <v>112</v>
      </c>
      <c r="BS8" s="33" t="s">
        <v>112</v>
      </c>
      <c r="BT8" s="28" t="s">
        <v>112</v>
      </c>
      <c r="BU8" s="28" t="s">
        <v>112</v>
      </c>
      <c r="BV8" s="28" t="s">
        <v>112</v>
      </c>
      <c r="BW8" s="28"/>
      <c r="BX8" s="28" t="s">
        <v>112</v>
      </c>
      <c r="BY8" s="34" t="s">
        <v>112</v>
      </c>
      <c r="BZ8" s="45" t="s">
        <v>110</v>
      </c>
      <c r="CA8" s="37" t="s">
        <v>110</v>
      </c>
      <c r="CB8" s="41"/>
      <c r="CC8" s="23" t="s">
        <v>110</v>
      </c>
      <c r="CD8" s="23" t="s">
        <v>113</v>
      </c>
      <c r="CE8" s="23" t="s">
        <v>113</v>
      </c>
      <c r="CF8" s="23" t="s">
        <v>113</v>
      </c>
      <c r="CG8" s="23" t="s">
        <v>113</v>
      </c>
      <c r="CH8" s="41"/>
      <c r="CI8" s="23" t="s">
        <v>112</v>
      </c>
      <c r="CJ8" s="38"/>
      <c r="CK8" s="37" t="s">
        <v>113</v>
      </c>
      <c r="CL8" s="41"/>
      <c r="CM8" s="23" t="s">
        <v>110</v>
      </c>
      <c r="CN8" s="23" t="s">
        <v>113</v>
      </c>
      <c r="CO8" s="23" t="s">
        <v>113</v>
      </c>
      <c r="CP8" s="23" t="s">
        <v>113</v>
      </c>
      <c r="CQ8" s="41"/>
      <c r="CR8" s="23" t="s">
        <v>112</v>
      </c>
      <c r="CS8" s="38"/>
      <c r="CT8" s="37" t="s">
        <v>104</v>
      </c>
      <c r="CU8" s="23"/>
      <c r="CV8" s="38"/>
      <c r="CW8" s="37"/>
      <c r="CX8" s="23"/>
      <c r="CY8" s="23"/>
      <c r="CZ8" s="38"/>
      <c r="DA8" s="37"/>
      <c r="DB8" s="23"/>
      <c r="DC8" s="38"/>
      <c r="DD8" s="39"/>
      <c r="DE8" s="23"/>
      <c r="DF8" s="23"/>
      <c r="DG8" s="40"/>
      <c r="DH8" s="33" t="n">
        <v>305</v>
      </c>
      <c r="DI8" s="28"/>
      <c r="DJ8" s="28"/>
      <c r="DK8" s="29" t="n">
        <v>6</v>
      </c>
      <c r="DL8" s="46" t="n">
        <f aca="false">SUM(DM8:DS8)</f>
        <v>0.93</v>
      </c>
      <c r="DM8" s="47" t="n">
        <v>0.5</v>
      </c>
      <c r="DN8" s="47" t="n">
        <v>0.29</v>
      </c>
      <c r="DO8" s="47" t="n">
        <v>0.07</v>
      </c>
      <c r="DP8" s="47" t="n">
        <v>0</v>
      </c>
      <c r="DQ8" s="47" t="n">
        <v>0.07</v>
      </c>
      <c r="DR8" s="47" t="n">
        <v>0</v>
      </c>
      <c r="DS8" s="47" t="n">
        <v>0</v>
      </c>
      <c r="DT8" s="48" t="n">
        <f aca="false">SUM(DU8:EA8)</f>
        <v>0.06</v>
      </c>
      <c r="DU8" s="47" t="n">
        <v>0.02</v>
      </c>
      <c r="DV8" s="47" t="n">
        <v>0</v>
      </c>
      <c r="DW8" s="47" t="n">
        <v>0.02</v>
      </c>
      <c r="DX8" s="47" t="n">
        <v>0</v>
      </c>
      <c r="DY8" s="47" t="n">
        <v>0</v>
      </c>
      <c r="DZ8" s="47" t="n">
        <v>0</v>
      </c>
      <c r="EA8" s="47" t="n">
        <v>0.02</v>
      </c>
    </row>
    <row r="9" customFormat="false" ht="13.8" hidden="false" customHeight="false" outlineLevel="0" collapsed="false">
      <c r="A9" s="23" t="s">
        <v>157</v>
      </c>
      <c r="B9" s="24" t="s">
        <v>158</v>
      </c>
      <c r="C9" s="25" t="s">
        <v>159</v>
      </c>
      <c r="D9" s="23" t="s">
        <v>160</v>
      </c>
      <c r="E9" s="23" t="n">
        <v>2.256274</v>
      </c>
      <c r="F9" s="26" t="n">
        <v>48.833827</v>
      </c>
      <c r="G9" s="27" t="s">
        <v>155</v>
      </c>
      <c r="H9" s="28" t="n">
        <v>191</v>
      </c>
      <c r="I9" s="28" t="s">
        <v>104</v>
      </c>
      <c r="J9" s="28" t="s">
        <v>105</v>
      </c>
      <c r="K9" s="28" t="s">
        <v>161</v>
      </c>
      <c r="L9" s="28" t="s">
        <v>162</v>
      </c>
      <c r="M9" s="28" t="s">
        <v>104</v>
      </c>
      <c r="N9" s="28" t="s">
        <v>104</v>
      </c>
      <c r="O9" s="29" t="s">
        <v>120</v>
      </c>
      <c r="P9" s="30"/>
      <c r="Q9" s="31"/>
      <c r="R9" s="31"/>
      <c r="S9" s="28" t="s">
        <v>104</v>
      </c>
      <c r="T9" s="31"/>
      <c r="U9" s="31"/>
      <c r="V9" s="31"/>
      <c r="W9" s="32"/>
      <c r="X9" s="33"/>
      <c r="Y9" s="28"/>
      <c r="Z9" s="28"/>
      <c r="AA9" s="28"/>
      <c r="AB9" s="28"/>
      <c r="AC9" s="28"/>
      <c r="AD9" s="28"/>
      <c r="AE9" s="34"/>
      <c r="AF9" s="35" t="n">
        <v>1</v>
      </c>
      <c r="AG9" s="23" t="s">
        <v>104</v>
      </c>
      <c r="AH9" s="23" t="s">
        <v>104</v>
      </c>
      <c r="AI9" s="23" t="s">
        <v>104</v>
      </c>
      <c r="AJ9" s="36" t="n">
        <v>2</v>
      </c>
      <c r="AK9" s="23" t="s">
        <v>104</v>
      </c>
      <c r="AL9" s="23" t="s">
        <v>104</v>
      </c>
      <c r="AM9" s="23" t="s">
        <v>104</v>
      </c>
      <c r="AN9" s="23" t="s">
        <v>104</v>
      </c>
      <c r="AO9" s="24" t="s">
        <v>104</v>
      </c>
      <c r="AP9" s="37" t="n">
        <v>13</v>
      </c>
      <c r="AQ9" s="23" t="n">
        <v>1</v>
      </c>
      <c r="AR9" s="23" t="n">
        <v>0</v>
      </c>
      <c r="AS9" s="38" t="n">
        <v>1</v>
      </c>
      <c r="AT9" s="39" t="s">
        <v>110</v>
      </c>
      <c r="AU9" s="23" t="s">
        <v>113</v>
      </c>
      <c r="AV9" s="23" t="s">
        <v>110</v>
      </c>
      <c r="AW9" s="23" t="s">
        <v>113</v>
      </c>
      <c r="AX9" s="23" t="s">
        <v>113</v>
      </c>
      <c r="AY9" s="40" t="s">
        <v>110</v>
      </c>
      <c r="AZ9" s="33"/>
      <c r="BA9" s="41"/>
      <c r="BB9" s="28" t="s">
        <v>111</v>
      </c>
      <c r="BC9" s="28" t="s">
        <v>112</v>
      </c>
      <c r="BD9" s="28" t="s">
        <v>111</v>
      </c>
      <c r="BE9" s="28" t="s">
        <v>111</v>
      </c>
      <c r="BF9" s="42"/>
      <c r="BG9" s="43"/>
      <c r="BH9" s="28"/>
      <c r="BI9" s="44"/>
      <c r="BJ9" s="43"/>
      <c r="BK9" s="44"/>
      <c r="BL9" s="43" t="s">
        <v>112</v>
      </c>
      <c r="BM9" s="28" t="s">
        <v>112</v>
      </c>
      <c r="BN9" s="28" t="s">
        <v>112</v>
      </c>
      <c r="BO9" s="28" t="s">
        <v>112</v>
      </c>
      <c r="BP9" s="28" t="s">
        <v>112</v>
      </c>
      <c r="BQ9" s="28" t="s">
        <v>112</v>
      </c>
      <c r="BR9" s="44"/>
      <c r="BS9" s="33" t="s">
        <v>112</v>
      </c>
      <c r="BT9" s="28" t="s">
        <v>112</v>
      </c>
      <c r="BU9" s="28"/>
      <c r="BV9" s="28"/>
      <c r="BW9" s="28"/>
      <c r="BX9" s="28" t="s">
        <v>112</v>
      </c>
      <c r="BY9" s="34"/>
      <c r="BZ9" s="45" t="s">
        <v>110</v>
      </c>
      <c r="CA9" s="37" t="s">
        <v>110</v>
      </c>
      <c r="CB9" s="41"/>
      <c r="CC9" s="23" t="s">
        <v>110</v>
      </c>
      <c r="CD9" s="23" t="s">
        <v>113</v>
      </c>
      <c r="CE9" s="23" t="s">
        <v>113</v>
      </c>
      <c r="CF9" s="23" t="s">
        <v>113</v>
      </c>
      <c r="CG9" s="23" t="s">
        <v>113</v>
      </c>
      <c r="CH9" s="41"/>
      <c r="CI9" s="23" t="s">
        <v>112</v>
      </c>
      <c r="CJ9" s="38"/>
      <c r="CK9" s="37" t="s">
        <v>113</v>
      </c>
      <c r="CL9" s="41"/>
      <c r="CM9" s="23" t="s">
        <v>110</v>
      </c>
      <c r="CN9" s="23" t="s">
        <v>113</v>
      </c>
      <c r="CO9" s="23" t="s">
        <v>113</v>
      </c>
      <c r="CP9" s="23" t="s">
        <v>113</v>
      </c>
      <c r="CQ9" s="41"/>
      <c r="CR9" s="23" t="s">
        <v>112</v>
      </c>
      <c r="CS9" s="38"/>
      <c r="CT9" s="37" t="s">
        <v>104</v>
      </c>
      <c r="CU9" s="23"/>
      <c r="CV9" s="38"/>
      <c r="CW9" s="37"/>
      <c r="CX9" s="23"/>
      <c r="CY9" s="23"/>
      <c r="CZ9" s="38"/>
      <c r="DA9" s="37"/>
      <c r="DB9" s="23"/>
      <c r="DC9" s="38"/>
      <c r="DD9" s="39"/>
      <c r="DE9" s="23"/>
      <c r="DF9" s="23"/>
      <c r="DG9" s="40"/>
      <c r="DH9" s="33" t="n">
        <v>191</v>
      </c>
      <c r="DI9" s="28"/>
      <c r="DJ9" s="28"/>
      <c r="DK9" s="29" t="n">
        <v>6</v>
      </c>
      <c r="DL9" s="46" t="n">
        <f aca="false">SUM(DM9:DS9)</f>
        <v>0.99</v>
      </c>
      <c r="DM9" s="47" t="n">
        <v>0.46</v>
      </c>
      <c r="DN9" s="47" t="n">
        <v>0.13</v>
      </c>
      <c r="DO9" s="47" t="n">
        <v>0.08</v>
      </c>
      <c r="DP9" s="47" t="n">
        <v>0.15</v>
      </c>
      <c r="DQ9" s="47" t="n">
        <v>0.14</v>
      </c>
      <c r="DR9" s="47" t="n">
        <v>0.03</v>
      </c>
      <c r="DS9" s="47" t="n">
        <v>0</v>
      </c>
      <c r="DT9" s="48" t="n">
        <f aca="false">SUM(DU9:EA9)</f>
        <v>0</v>
      </c>
      <c r="DU9" s="47" t="n">
        <v>0</v>
      </c>
      <c r="DV9" s="47" t="n">
        <v>0</v>
      </c>
      <c r="DW9" s="47" t="n">
        <v>0</v>
      </c>
      <c r="DX9" s="47" t="n">
        <v>0</v>
      </c>
      <c r="DY9" s="47" t="n">
        <v>0</v>
      </c>
      <c r="DZ9" s="47" t="n">
        <v>0</v>
      </c>
      <c r="EA9" s="4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2026-03-19T23:22:57Z</dcterms:created>
  <dc:creator>BERTRAND Thomas</dc:creator>
  <dc:description/>
  <dc:language>fr-FR</dc:language>
  <cp:lastModifiedBy/>
  <dcterms:modified xsi:type="dcterms:W3CDTF">2026-05-26T13:17:26Z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