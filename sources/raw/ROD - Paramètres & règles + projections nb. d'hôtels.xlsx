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accor-my.sharepoint.com/personal/accor_dts_pme_accor_com/Documents/06_INNOVATION_LAB/GROUPS/HOTEL EXPERIENCE/RETAIL/AUTONOMOUS RETAIL/08 - ROD/3 - PARAMETRES &amp; REGLES/"/>
    </mc:Choice>
  </mc:AlternateContent>
  <xr:revisionPtr revIDLastSave="39" documentId="8_{0A300457-3C9F-4214-955A-4D2E0B6536F2}" xr6:coauthVersionLast="47" xr6:coauthVersionMax="47" xr10:uidLastSave="{34F47AC6-3259-4876-B9E7-26DC8ABBC694}"/>
  <bookViews>
    <workbookView xWindow="-108" yWindow="-108" windowWidth="23256" windowHeight="12456" tabRatio="709" xr2:uid="{FAEF8A55-01C3-45AE-9714-374971168901}"/>
  </bookViews>
  <sheets>
    <sheet name="REGLES POUR RECO DU CONCEPT" sheetId="7" r:id="rId1"/>
    <sheet name="NB CH 1" sheetId="5" r:id="rId2"/>
    <sheet name="NB CH 2" sheetId="14" r:id="rId3"/>
    <sheet name="RESTO 1" sheetId="8" r:id="rId4"/>
    <sheet name="RESTO 2" sheetId="21" r:id="rId5"/>
    <sheet name="BAR 1" sheetId="18" r:id="rId6"/>
    <sheet name="BAR 2" sheetId="20" r:id="rId7"/>
    <sheet name="CRITERES POUR PANEL" sheetId="17" r:id="rId8"/>
    <sheet name="TESTS SIMPLY" sheetId="13" r:id="rId9"/>
    <sheet name="TESTS LIBERTY" sheetId="24" r:id="rId10"/>
    <sheet name="TESTS CONNECTED" sheetId="25" r:id="rId11"/>
    <sheet name="CORRECTIONS ND" sheetId="23" r:id="rId12"/>
    <sheet name="DATA" sheetId="2" r:id="rId13"/>
    <sheet name="PROTOTYPE" sheetId="26" r:id="rId14"/>
  </sheets>
  <definedNames>
    <definedName name="_xlnm._FilterDatabase" localSheetId="12" hidden="1">DATA!$B$2:$J$2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4" l="1"/>
  <c r="F8" i="20" l="1"/>
  <c r="AE29" i="25"/>
  <c r="X29" i="25"/>
  <c r="Q29" i="25"/>
  <c r="J29" i="25"/>
  <c r="C29" i="25"/>
  <c r="AE29" i="24"/>
  <c r="X29" i="24"/>
  <c r="Q29" i="24"/>
  <c r="J29" i="24"/>
  <c r="C29" i="24"/>
  <c r="X29" i="13"/>
  <c r="Q29" i="13"/>
  <c r="J29" i="13"/>
  <c r="S57" i="7"/>
  <c r="S56" i="7"/>
  <c r="S55" i="7"/>
  <c r="S47" i="7"/>
  <c r="S45" i="7"/>
  <c r="S46" i="7"/>
  <c r="S31" i="7"/>
  <c r="S32" i="7"/>
  <c r="S33" i="7"/>
  <c r="L11" i="7"/>
  <c r="R11" i="7" s="1"/>
  <c r="D40" i="14"/>
  <c r="D27" i="14"/>
  <c r="D16" i="14"/>
  <c r="L10" i="7"/>
  <c r="R10" i="7" s="1"/>
  <c r="L9" i="7"/>
  <c r="R9" i="7" s="1"/>
  <c r="L8" i="7"/>
  <c r="R8" i="7" s="1"/>
  <c r="L7" i="7"/>
  <c r="R7" i="7" s="1"/>
  <c r="F11" i="7"/>
  <c r="D49" i="14"/>
  <c r="D51" i="14"/>
  <c r="C46" i="14"/>
  <c r="D46" i="14" s="1"/>
  <c r="C47" i="14"/>
  <c r="D47" i="14" s="1"/>
  <c r="C48" i="14"/>
  <c r="D48" i="14" s="1"/>
  <c r="C49" i="14"/>
  <c r="C50" i="14"/>
  <c r="D50" i="14" s="1"/>
  <c r="C51" i="14"/>
  <c r="C45" i="14"/>
  <c r="D45" i="14" s="1"/>
  <c r="D35" i="14"/>
  <c r="D41" i="14"/>
  <c r="D33" i="14"/>
  <c r="D17" i="14"/>
  <c r="D10" i="14"/>
  <c r="D9" i="14"/>
  <c r="D3" i="14"/>
  <c r="D2" i="14"/>
  <c r="F9" i="7"/>
  <c r="F8" i="7"/>
  <c r="F7" i="7"/>
  <c r="D42" i="14"/>
  <c r="D28" i="14"/>
  <c r="D29" i="14"/>
  <c r="D30" i="14"/>
  <c r="D31" i="14"/>
  <c r="D32" i="14"/>
  <c r="D26" i="14"/>
  <c r="D36" i="14"/>
  <c r="D37" i="14"/>
  <c r="D38" i="14"/>
  <c r="D39" i="14"/>
  <c r="D34" i="14"/>
  <c r="D18" i="14"/>
  <c r="D19" i="14"/>
  <c r="D20" i="14"/>
  <c r="D21" i="14"/>
  <c r="D22" i="14"/>
  <c r="D23" i="14"/>
  <c r="D24" i="14"/>
  <c r="D25" i="14"/>
  <c r="D12" i="14"/>
  <c r="D11" i="14"/>
  <c r="D13" i="14"/>
  <c r="D14" i="14"/>
  <c r="D15" i="14"/>
  <c r="D4" i="14"/>
  <c r="D5" i="14"/>
  <c r="D6" i="14"/>
  <c r="D7" i="14"/>
  <c r="D8" i="14"/>
  <c r="M8" i="21"/>
  <c r="J6" i="21"/>
  <c r="M6" i="21"/>
  <c r="F7" i="21"/>
  <c r="J8" i="21"/>
  <c r="H8" i="21"/>
  <c r="F8" i="21"/>
  <c r="D8" i="21"/>
  <c r="J7" i="21"/>
  <c r="H7" i="21"/>
  <c r="D7" i="21"/>
  <c r="M7" i="21" s="1"/>
  <c r="H6" i="21"/>
  <c r="F6" i="21"/>
  <c r="D6" i="21"/>
  <c r="H5" i="21"/>
  <c r="F5" i="21"/>
  <c r="D5" i="21"/>
  <c r="M5" i="21" s="1"/>
  <c r="H4" i="21"/>
  <c r="F4" i="21"/>
  <c r="D4" i="21"/>
  <c r="F3" i="21"/>
  <c r="D3" i="21"/>
  <c r="M3" i="21" s="1"/>
  <c r="M3" i="20"/>
  <c r="M4" i="20"/>
  <c r="M5" i="20"/>
  <c r="M6" i="20"/>
  <c r="M7" i="20"/>
  <c r="M8" i="20"/>
  <c r="J8" i="20"/>
  <c r="H8" i="20"/>
  <c r="D8" i="20"/>
  <c r="J7" i="20"/>
  <c r="H7" i="20"/>
  <c r="F7" i="20"/>
  <c r="D7" i="20"/>
  <c r="H6" i="20"/>
  <c r="F6" i="20"/>
  <c r="D6" i="20"/>
  <c r="F3" i="20"/>
  <c r="D3" i="20"/>
  <c r="D4" i="20"/>
  <c r="F4" i="20"/>
  <c r="H4" i="20"/>
  <c r="H5" i="20"/>
  <c r="F5" i="20"/>
  <c r="D5" i="20"/>
  <c r="C29" i="13"/>
  <c r="R20" i="7" l="1"/>
  <c r="R19" i="7"/>
  <c r="R21" i="7"/>
  <c r="L22" i="7"/>
  <c r="F22" i="7" s="1"/>
  <c r="L23" i="7"/>
  <c r="F23" i="7" s="1"/>
  <c r="R12" i="7"/>
  <c r="S12" i="7" s="1"/>
  <c r="L12" i="7"/>
  <c r="M12" i="7" s="1"/>
  <c r="F12" i="7"/>
  <c r="G12" i="7" s="1"/>
  <c r="M4" i="21"/>
  <c r="E60" i="7" l="1"/>
  <c r="L31" i="7"/>
  <c r="R31" i="7"/>
  <c r="R45" i="7" s="1"/>
  <c r="L33" i="7"/>
  <c r="R33" i="7"/>
  <c r="R32" i="7"/>
  <c r="L32" i="7"/>
  <c r="R24" i="7"/>
  <c r="S24" i="7" s="1"/>
  <c r="F24" i="7"/>
  <c r="G24" i="7" s="1"/>
  <c r="L24" i="7"/>
  <c r="M24" i="7" l="1"/>
  <c r="L46" i="7"/>
  <c r="R46" i="7"/>
  <c r="L47" i="7"/>
  <c r="R47" i="7"/>
  <c r="L45" i="7"/>
  <c r="L34" i="7"/>
  <c r="M34" i="7" s="1"/>
  <c r="R34" i="7"/>
  <c r="S34" i="7" s="1"/>
  <c r="R48" i="7" l="1"/>
  <c r="S48" i="7" s="1"/>
  <c r="R55" i="7"/>
  <c r="L55" i="7"/>
  <c r="R57" i="7"/>
  <c r="L57" i="7"/>
  <c r="R56" i="7"/>
  <c r="L56" i="7"/>
  <c r="L48" i="7"/>
  <c r="M48" i="7" s="1"/>
  <c r="L58" i="7" l="1"/>
  <c r="R58" i="7"/>
  <c r="Q60" i="7" s="1"/>
  <c r="M58" i="7" l="1"/>
  <c r="K60" i="7"/>
  <c r="E62" i="7" s="1"/>
  <c r="S58" i="7"/>
</calcChain>
</file>

<file path=xl/sharedStrings.xml><?xml version="1.0" encoding="utf-8"?>
<sst xmlns="http://schemas.openxmlformats.org/spreadsheetml/2006/main" count="1370" uniqueCount="302">
  <si>
    <t>HOTEL</t>
  </si>
  <si>
    <t>GENERAL INFORMATION</t>
  </si>
  <si>
    <t>LOCALISATION</t>
  </si>
  <si>
    <t>OTHER INFORMATION</t>
  </si>
  <si>
    <t>BUSINESS INFORMATION</t>
  </si>
  <si>
    <t>SERVICES</t>
  </si>
  <si>
    <t>GUEST PROFILING</t>
  </si>
  <si>
    <t>CODE H</t>
  </si>
  <si>
    <t>NOM DE L'HOTEL</t>
  </si>
  <si>
    <t>MARQUE</t>
  </si>
  <si>
    <t>BUILT</t>
  </si>
  <si>
    <t>NB. DE CHAMBRES</t>
  </si>
  <si>
    <t>ADRESSE POSTALE (1)</t>
  </si>
  <si>
    <t>ADRESSE POSTALE (2)</t>
  </si>
  <si>
    <t>ADRESSE POSTALE (3)</t>
  </si>
  <si>
    <t>CODE POSTAL</t>
  </si>
  <si>
    <t>VILLE</t>
  </si>
  <si>
    <t>LONGITUDE</t>
  </si>
  <si>
    <t>LATITUDE</t>
  </si>
  <si>
    <t>LOCATION</t>
  </si>
  <si>
    <t>HOTEL LAST RENOVATION</t>
  </si>
  <si>
    <t>LOBBY LAST RENOVATION</t>
  </si>
  <si>
    <t>CONTRAT</t>
  </si>
  <si>
    <t>OWNER</t>
  </si>
  <si>
    <t>DOM/DOF</t>
  </si>
  <si>
    <t>PMS</t>
  </si>
  <si>
    <t># GUESTS PER ROOM</t>
  </si>
  <si>
    <t>YTD OCC. RATE</t>
  </si>
  <si>
    <t>LOWEST (MONTH)</t>
  </si>
  <si>
    <t>LOWEST (RATE)</t>
  </si>
  <si>
    <t>HIGHEST (MONTH)</t>
  </si>
  <si>
    <t>HIGHEST (RATE)</t>
  </si>
  <si>
    <t>BAR</t>
  </si>
  <si>
    <t>RESTAURANT</t>
  </si>
  <si>
    <t>ROOM-SERVICE</t>
  </si>
  <si>
    <t>MINIBAR</t>
  </si>
  <si>
    <t>MEETING ROOMS</t>
  </si>
  <si>
    <t>FITNESS</t>
  </si>
  <si>
    <t>SPA</t>
  </si>
  <si>
    <t>POOL</t>
  </si>
  <si>
    <t>NATIONAL</t>
  </si>
  <si>
    <t>INTERNATIONAL</t>
  </si>
  <si>
    <t>LEISURE</t>
  </si>
  <si>
    <t>BUSINESS</t>
  </si>
  <si>
    <t>IBIS</t>
  </si>
  <si>
    <t>Entre 50 et 99 ch.</t>
  </si>
  <si>
    <t>MERCURE</t>
  </si>
  <si>
    <t>IBIS STYLES</t>
  </si>
  <si>
    <t>Entre 100 et 149 ch.</t>
  </si>
  <si>
    <t>Plus de 300 ch.</t>
  </si>
  <si>
    <t>Entre 150 et 199 ch.</t>
  </si>
  <si>
    <t>NOVOTEL</t>
  </si>
  <si>
    <t>H0412</t>
  </si>
  <si>
    <t>NOVOTEL NARBONNE SUD</t>
  </si>
  <si>
    <t>H0538</t>
  </si>
  <si>
    <t>IBIS ANNECY CTRE VIEILLE VILLE</t>
  </si>
  <si>
    <t>H0589</t>
  </si>
  <si>
    <t>NOVOTEL METZ CENTRE</t>
  </si>
  <si>
    <t>Entre 0 et 49 ch.</t>
  </si>
  <si>
    <t>Entre 250 et 299 ch.</t>
  </si>
  <si>
    <t>H0714</t>
  </si>
  <si>
    <t>IBIS AIX EN PROVENCE</t>
  </si>
  <si>
    <t>H0914</t>
  </si>
  <si>
    <t>Entre 200 et 249 ch.</t>
  </si>
  <si>
    <t>H1249</t>
  </si>
  <si>
    <t>MERCURE RENNES CENTRE GARE</t>
  </si>
  <si>
    <t>IBIS BUDGET</t>
  </si>
  <si>
    <t>H1625</t>
  </si>
  <si>
    <t>H1951</t>
  </si>
  <si>
    <t>MERCURE CAVAILLON LUBERON</t>
  </si>
  <si>
    <t>H5023</t>
  </si>
  <si>
    <t>H5302</t>
  </si>
  <si>
    <t>H6675</t>
  </si>
  <si>
    <t>IBIS BUDGET BORDEAUX SUD</t>
  </si>
  <si>
    <t>H6916</t>
  </si>
  <si>
    <t>IBIS STYLES ORLEANS</t>
  </si>
  <si>
    <t>HB523</t>
  </si>
  <si>
    <t>IBIS BUDGET LYON EST BEYNOST</t>
  </si>
  <si>
    <t>HB7P3</t>
  </si>
  <si>
    <t>IBIS STYLES RENNES CESSON</t>
  </si>
  <si>
    <t>CATEGORIE</t>
  </si>
  <si>
    <t>DATA</t>
  </si>
  <si>
    <t>SOURCE ACTUELLE</t>
  </si>
  <si>
    <t>CONTACT / REFERENT</t>
  </si>
  <si>
    <t>N+1 CONTACT / REFERENT</t>
  </si>
  <si>
    <t>API ?</t>
  </si>
  <si>
    <t>STOCKAGE / OUTIL</t>
  </si>
  <si>
    <t>EQUIPE RESPONSABLE</t>
  </si>
  <si>
    <t>COMMENTAIRE THOMAS (INNOLAB)</t>
  </si>
  <si>
    <t>360 Hotel Referential</t>
  </si>
  <si>
    <t>Benoit SALMON</t>
  </si>
  <si>
    <t>François-Xavier MILLE</t>
  </si>
  <si>
    <t>API Portfolio</t>
  </si>
  <si>
    <t>Taki IDER + Delphine BAROUX + Jennifer WINSTON (WeMax)</t>
  </si>
  <si>
    <t>Parc Hôtel Southern Europe</t>
  </si>
  <si>
    <t xml:space="preserve"> - </t>
  </si>
  <si>
    <t>Export à la demande</t>
  </si>
  <si>
    <t>Rémy LEROY</t>
  </si>
  <si>
    <t>Arnaud THULLIEZ</t>
  </si>
  <si>
    <t>Données fictives pour le moment</t>
  </si>
  <si>
    <t>MEGA ou WeMax</t>
  </si>
  <si>
    <t>Elias TANNOURY + Sylvain SETRAKIAN + Geetanjali ROGBEER</t>
  </si>
  <si>
    <t>Vanessa PACINI</t>
  </si>
  <si>
    <t>Étiquettes de lignes</t>
  </si>
  <si>
    <t>Nombre de CODE H</t>
  </si>
  <si>
    <t>Total général</t>
  </si>
  <si>
    <t>TOTAL</t>
  </si>
  <si>
    <t>Étiquettes de colonnes</t>
  </si>
  <si>
    <t>NB. DE RESTAURANT(S)</t>
  </si>
  <si>
    <t>NB. HOTELS</t>
  </si>
  <si>
    <t>CHECK</t>
  </si>
  <si>
    <t>NB. DE BAR(S)</t>
  </si>
  <si>
    <t>NB. CH.</t>
  </si>
  <si>
    <t>NB. RESTO</t>
  </si>
  <si>
    <t>NB. BAR</t>
  </si>
  <si>
    <t>0 et 1</t>
  </si>
  <si>
    <t>SIMPLY</t>
  </si>
  <si>
    <t>LIBERTY</t>
  </si>
  <si>
    <t>CONNECTED</t>
  </si>
  <si>
    <t>Nb. de chambres</t>
  </si>
  <si>
    <t>Entre 0 et 49 chambres</t>
  </si>
  <si>
    <t xml:space="preserve"> + de 50 chambres</t>
  </si>
  <si>
    <t>Nb. hôtels</t>
  </si>
  <si>
    <t>IBB</t>
  </si>
  <si>
    <t>IBS</t>
  </si>
  <si>
    <t>NOV</t>
  </si>
  <si>
    <t>MER</t>
  </si>
  <si>
    <r>
      <rPr>
        <b/>
        <u/>
        <sz val="11"/>
        <color theme="1"/>
        <rFont val="Aptos Narrow"/>
        <family val="2"/>
        <scheme val="minor"/>
      </rPr>
      <t>Min. 1 des 5 catégories</t>
    </r>
    <r>
      <rPr>
        <b/>
        <sz val="11"/>
        <color theme="1"/>
        <rFont val="Aptos Narrow"/>
        <family val="2"/>
        <scheme val="minor"/>
      </rPr>
      <t xml:space="preserve"> :</t>
    </r>
  </si>
  <si>
    <r>
      <t xml:space="preserve">Cosmetics </t>
    </r>
    <r>
      <rPr>
        <sz val="11"/>
        <color theme="1"/>
        <rFont val="Aptos Narrow"/>
        <family val="2"/>
        <scheme val="minor"/>
      </rPr>
      <t>et/ou</t>
    </r>
    <r>
      <rPr>
        <b/>
        <sz val="11"/>
        <color theme="1"/>
        <rFont val="Aptos Narrow"/>
        <family val="2"/>
        <scheme val="minor"/>
      </rPr>
      <t xml:space="preserve"> Kids items </t>
    </r>
    <r>
      <rPr>
        <sz val="11"/>
        <color theme="1"/>
        <rFont val="Aptos Narrow"/>
        <family val="2"/>
        <scheme val="minor"/>
      </rPr>
      <t>et/ou</t>
    </r>
    <r>
      <rPr>
        <b/>
        <sz val="11"/>
        <color theme="1"/>
        <rFont val="Aptos Narrow"/>
        <family val="2"/>
        <scheme val="minor"/>
      </rPr>
      <t xml:space="preserve"> Ready-to-wear </t>
    </r>
    <r>
      <rPr>
        <sz val="11"/>
        <color theme="1"/>
        <rFont val="Aptos Narrow"/>
        <family val="2"/>
        <scheme val="minor"/>
      </rPr>
      <t>et/ou</t>
    </r>
    <r>
      <rPr>
        <b/>
        <sz val="11"/>
        <color theme="1"/>
        <rFont val="Aptos Narrow"/>
        <family val="2"/>
        <scheme val="minor"/>
      </rPr>
      <t xml:space="preserve"> Accessories </t>
    </r>
    <r>
      <rPr>
        <sz val="11"/>
        <color theme="1"/>
        <rFont val="Aptos Narrow"/>
        <family val="2"/>
        <scheme val="minor"/>
      </rPr>
      <t>et/ou</t>
    </r>
    <r>
      <rPr>
        <b/>
        <sz val="11"/>
        <color theme="1"/>
        <rFont val="Aptos Narrow"/>
        <family val="2"/>
        <scheme val="minor"/>
      </rPr>
      <t xml:space="preserve"> Souvenirs</t>
    </r>
  </si>
  <si>
    <t>YES</t>
  </si>
  <si>
    <t>NO</t>
  </si>
  <si>
    <r>
      <rPr>
        <sz val="11"/>
        <color theme="1"/>
        <rFont val="Aptos Narrow"/>
        <family val="2"/>
        <scheme val="minor"/>
      </rPr>
      <t xml:space="preserve">Le choix doit être possible
pour les hôtels NOV et MER
</t>
    </r>
    <r>
      <rPr>
        <sz val="16"/>
        <color theme="1"/>
        <rFont val="Segoe UI Emoji"/>
        <family val="2"/>
      </rPr>
      <t>↔</t>
    </r>
  </si>
  <si>
    <r>
      <rPr>
        <b/>
        <u/>
        <sz val="11"/>
        <color theme="1"/>
        <rFont val="Aptos Narrow"/>
        <family val="2"/>
        <scheme val="minor"/>
      </rPr>
      <t>Nb. de mètres linéaires</t>
    </r>
    <r>
      <rPr>
        <b/>
        <sz val="11"/>
        <color theme="1"/>
        <rFont val="Aptos Narrow"/>
        <family val="2"/>
        <scheme val="minor"/>
      </rPr>
      <t xml:space="preserve"> :</t>
    </r>
  </si>
  <si>
    <t>Si l'hôtel souhaite + de 4 mètres linéaires alors &gt; LIBERTY STORE</t>
  </si>
  <si>
    <t>&gt; 4 METRES LINEAIRES</t>
  </si>
  <si>
    <t>&lt; ou = 4 METRES LINEAIRES</t>
  </si>
  <si>
    <t xml:space="preserve"> - Plus de 50 chambres
 - Aucune des 5 catégories de produits sélectionnées/cochées
 - Entre 2 et 4 mètres linéaires accordés à leur future boutique (2 mètres étant le minimum dans ROD)</t>
  </si>
  <si>
    <t>METRES LINEAIRES = ou &lt; 4</t>
  </si>
  <si>
    <t>L'hôtel est-il déjà en possession d'une vitrine réfrigérée ?</t>
  </si>
  <si>
    <t>Dernier tri en fonction du TO moyen (YTD)</t>
  </si>
  <si>
    <t>TO &lt; à 70%</t>
  </si>
  <si>
    <t>TO = ou &gt; à 70%</t>
  </si>
  <si>
    <t>NB. HOTELS TOTAUX</t>
  </si>
  <si>
    <t>QUALITY CHECK</t>
  </si>
  <si>
    <t>IBIS TOUR MONTPARNASSE</t>
  </si>
  <si>
    <t>ML</t>
  </si>
  <si>
    <t>NB. G / CH.</t>
  </si>
  <si>
    <t>F&amp;B</t>
  </si>
  <si>
    <t>TO (YTD)</t>
  </si>
  <si>
    <t>N-F&amp;B</t>
  </si>
  <si>
    <t>Drinks w-out A</t>
  </si>
  <si>
    <t>X</t>
  </si>
  <si>
    <t>SOS</t>
  </si>
  <si>
    <t>Drinks w A</t>
  </si>
  <si>
    <t>Hygiene</t>
  </si>
  <si>
    <t>Sugary (dry)</t>
  </si>
  <si>
    <t>Cosmetics</t>
  </si>
  <si>
    <t>Sugary (fresh)</t>
  </si>
  <si>
    <t>Kids items</t>
  </si>
  <si>
    <t>Salty (dry)</t>
  </si>
  <si>
    <t>Ready-to-wear</t>
  </si>
  <si>
    <t>Salty (fresh)</t>
  </si>
  <si>
    <t>Accessories</t>
  </si>
  <si>
    <t>Gourmet</t>
  </si>
  <si>
    <t>Souvenirs</t>
  </si>
  <si>
    <t>SCANNER</t>
  </si>
  <si>
    <t>VITRINE</t>
  </si>
  <si>
    <t>AGENCEMENT</t>
  </si>
  <si>
    <t>Classic</t>
  </si>
  <si>
    <t xml:space="preserve"> + Testé en "Premium"</t>
  </si>
  <si>
    <t>Premium</t>
  </si>
  <si>
    <t xml:space="preserve"> + Testé en "Classic"</t>
  </si>
  <si>
    <t>REVENUS</t>
  </si>
  <si>
    <t>THOMAS</t>
  </si>
  <si>
    <t>ROD</t>
  </si>
  <si>
    <t>/mois</t>
  </si>
  <si>
    <t>NON-F&amp;B</t>
  </si>
  <si>
    <t>MARGE NETTE</t>
  </si>
  <si>
    <t>AMORTISSEMENT</t>
  </si>
  <si>
    <t xml:space="preserve"> mois</t>
  </si>
  <si>
    <t>MERCURE LYON CHARPENNES</t>
  </si>
  <si>
    <t>CAISSE</t>
  </si>
  <si>
    <t>N/A</t>
  </si>
  <si>
    <t>IBIS BUDGET TOURS GARE</t>
  </si>
  <si>
    <t>IBIS STYLES ROCHELLE CENTRE</t>
  </si>
  <si>
    <t>FRIGO</t>
  </si>
  <si>
    <t xml:space="preserve"> - Modifier marges produits et coûts dans le back-office</t>
  </si>
  <si>
    <t xml:space="preserve"> - Afficher plutôt "Not profitable" si revenus négatifs (F&amp;B ou NON-F&amp;B ou TOTAL)</t>
  </si>
  <si>
    <t xml:space="preserve"> - Attention la somme de F&amp;B et NON-F&amp;B ne fait pas exactement le montant affiché</t>
  </si>
  <si>
    <t xml:space="preserve"> - Si "refresh" ou si modification d'une des variables alors = l'écran doit automatiquement affiché de nouveau la solution recommandée</t>
  </si>
  <si>
    <t xml:space="preserve"> - Le slider F&amp;B doit être à 0% lorsque tous les toggles sont OFF (ou message d'erreur)</t>
  </si>
  <si>
    <t xml:space="preserve"> - Logos hôtels pas tout le temps corrects</t>
  </si>
  <si>
    <t xml:space="preserve"> - Mise à jour automatique en modifiant le nb. de machines et l'agencement</t>
  </si>
  <si>
    <t xml:space="preserve"> - Modifier la couleur du ou des toggles + du curseur/slider (barre + rond) en rouge (#DC2C3E) dès lors que ROD a modifié des paramètres automatiquement pour faire en sorte que le résultat soit positif</t>
  </si>
  <si>
    <t xml:space="preserve"> - Modifier le composant heure/minutes dans l'étape #2 (ou le fixer)</t>
  </si>
  <si>
    <r>
      <rPr>
        <b/>
        <u/>
        <sz val="11"/>
        <color theme="1"/>
        <rFont val="Aptos Narrow"/>
        <family val="2"/>
        <scheme val="minor"/>
      </rPr>
      <t>Pour les hôtels répondant aux critères ci-après</t>
    </r>
    <r>
      <rPr>
        <b/>
        <sz val="11"/>
        <color theme="1"/>
        <rFont val="Aptos Narrow"/>
        <family val="2"/>
        <scheme val="minor"/>
      </rPr>
      <t xml:space="preserve"> :</t>
    </r>
  </si>
  <si>
    <t>REGLE #1</t>
  </si>
  <si>
    <t>REGLE #2</t>
  </si>
  <si>
    <t>REGLE #3</t>
  </si>
  <si>
    <t>REGLE #4</t>
  </si>
  <si>
    <t>REGLE #5</t>
  </si>
  <si>
    <t>&gt;&gt; à compléter</t>
  </si>
  <si>
    <t>CORRECTIONS NET DEVICES - 30/10/2025</t>
  </si>
  <si>
    <r>
      <t xml:space="preserve">Si l'hôtel a un </t>
    </r>
    <r>
      <rPr>
        <b/>
        <sz val="11"/>
        <color theme="1"/>
        <rFont val="Aptos Narrow"/>
        <family val="2"/>
        <scheme val="minor"/>
      </rPr>
      <t xml:space="preserve">TO moyen </t>
    </r>
    <r>
      <rPr>
        <b/>
        <u/>
        <sz val="11"/>
        <color theme="1"/>
        <rFont val="Aptos Narrow"/>
        <family val="2"/>
        <scheme val="minor"/>
      </rPr>
      <t>supérieur</t>
    </r>
    <r>
      <rPr>
        <b/>
        <sz val="11"/>
        <color theme="1"/>
        <rFont val="Aptos Narrow"/>
        <family val="2"/>
        <scheme val="minor"/>
      </rPr>
      <t xml:space="preserve"> à 70%</t>
    </r>
    <r>
      <rPr>
        <sz val="11"/>
        <color theme="1"/>
        <rFont val="Aptos Narrow"/>
        <family val="2"/>
        <scheme val="minor"/>
      </rPr>
      <t xml:space="preserve">, alors le type de boutique qui s'affichera en premier sera le </t>
    </r>
    <r>
      <rPr>
        <b/>
        <sz val="11"/>
        <color theme="1"/>
        <rFont val="Aptos Narrow"/>
        <family val="2"/>
        <scheme val="minor"/>
      </rPr>
      <t>CONNECTED STORE</t>
    </r>
    <r>
      <rPr>
        <sz val="11"/>
        <color theme="1"/>
        <rFont val="Aptos Narrow"/>
        <family val="2"/>
        <scheme val="minor"/>
      </rPr>
      <t>.</t>
    </r>
  </si>
  <si>
    <r>
      <t xml:space="preserve">Si l'hôtel a un </t>
    </r>
    <r>
      <rPr>
        <b/>
        <sz val="11"/>
        <color theme="1"/>
        <rFont val="Aptos Narrow"/>
        <family val="2"/>
        <scheme val="minor"/>
      </rPr>
      <t xml:space="preserve">TO moyen </t>
    </r>
    <r>
      <rPr>
        <b/>
        <u/>
        <sz val="11"/>
        <color theme="1"/>
        <rFont val="Aptos Narrow"/>
        <family val="2"/>
        <scheme val="minor"/>
      </rPr>
      <t>inférieur</t>
    </r>
    <r>
      <rPr>
        <b/>
        <sz val="11"/>
        <color theme="1"/>
        <rFont val="Aptos Narrow"/>
        <family val="2"/>
        <scheme val="minor"/>
      </rPr>
      <t xml:space="preserve"> à 70%</t>
    </r>
    <r>
      <rPr>
        <sz val="11"/>
        <color theme="1"/>
        <rFont val="Aptos Narrow"/>
        <family val="2"/>
        <scheme val="minor"/>
      </rPr>
      <t xml:space="preserve">, alors le type de boutique qui s'affichera en premier sera le </t>
    </r>
    <r>
      <rPr>
        <b/>
        <sz val="11"/>
        <color theme="1"/>
        <rFont val="Aptos Narrow"/>
        <family val="2"/>
        <scheme val="minor"/>
      </rPr>
      <t>LIBERTY STORE</t>
    </r>
    <r>
      <rPr>
        <sz val="11"/>
        <color theme="1"/>
        <rFont val="Aptos Narrow"/>
        <family val="2"/>
        <scheme val="minor"/>
      </rPr>
      <t>.</t>
    </r>
  </si>
  <si>
    <r>
      <t xml:space="preserve">Si la différence ne peut pas se faire sur la base de la vitrine réfrigérée, elle se fera sur la base du </t>
    </r>
    <r>
      <rPr>
        <b/>
        <sz val="11"/>
        <color rgb="FFFF0000"/>
        <rFont val="Aptos Narrow"/>
        <family val="2"/>
        <scheme val="minor"/>
      </rPr>
      <t>TAUX D'OCCUPATION MOYEN</t>
    </r>
    <r>
      <rPr>
        <sz val="11"/>
        <color rgb="FFFF0000"/>
        <rFont val="Aptos Narrow"/>
        <family val="2"/>
        <scheme val="minor"/>
      </rPr>
      <t>.</t>
    </r>
  </si>
  <si>
    <r>
      <t xml:space="preserve">Si l'hôtel </t>
    </r>
    <r>
      <rPr>
        <b/>
        <sz val="11"/>
        <color theme="1"/>
        <rFont val="Aptos Narrow"/>
        <family val="2"/>
        <scheme val="minor"/>
      </rPr>
      <t>n'a pas déjà une vitrine réfrigérée</t>
    </r>
    <r>
      <rPr>
        <sz val="11"/>
        <color theme="1"/>
        <rFont val="Aptos Narrow"/>
        <family val="2"/>
        <scheme val="minor"/>
      </rPr>
      <t xml:space="preserve">, alors le type de boutique qui s'affichera en premier sera le </t>
    </r>
    <r>
      <rPr>
        <b/>
        <sz val="11"/>
        <color theme="1"/>
        <rFont val="Aptos Narrow"/>
        <family val="2"/>
        <scheme val="minor"/>
      </rPr>
      <t>CONNECTED STORE</t>
    </r>
    <r>
      <rPr>
        <sz val="11"/>
        <color theme="1"/>
        <rFont val="Aptos Narrow"/>
        <family val="2"/>
        <scheme val="minor"/>
      </rPr>
      <t>.</t>
    </r>
  </si>
  <si>
    <r>
      <t xml:space="preserve">Si l'hôtel a </t>
    </r>
    <r>
      <rPr>
        <b/>
        <sz val="11"/>
        <color theme="1"/>
        <rFont val="Aptos Narrow"/>
        <family val="2"/>
        <scheme val="minor"/>
      </rPr>
      <t>déjà une vitrine réfrigérée</t>
    </r>
    <r>
      <rPr>
        <sz val="11"/>
        <color theme="1"/>
        <rFont val="Aptos Narrow"/>
        <family val="2"/>
        <scheme val="minor"/>
      </rPr>
      <t xml:space="preserve">, alors le type de boutique qui s'affichera en premier sera le </t>
    </r>
    <r>
      <rPr>
        <b/>
        <sz val="11"/>
        <color theme="1"/>
        <rFont val="Aptos Narrow"/>
        <family val="2"/>
        <scheme val="minor"/>
      </rPr>
      <t>LIBERTY STORE</t>
    </r>
    <r>
      <rPr>
        <sz val="11"/>
        <color theme="1"/>
        <rFont val="Aptos Narrow"/>
        <family val="2"/>
        <scheme val="minor"/>
      </rPr>
      <t>.</t>
    </r>
  </si>
  <si>
    <r>
      <t xml:space="preserve">C'est le fait que l'hôtel ait déjà une </t>
    </r>
    <r>
      <rPr>
        <b/>
        <sz val="11"/>
        <color rgb="FFFF0000"/>
        <rFont val="Aptos Narrow"/>
        <family val="2"/>
        <scheme val="minor"/>
      </rPr>
      <t>VITRINE REFRIGEREE</t>
    </r>
    <r>
      <rPr>
        <sz val="11"/>
        <color rgb="FFFF0000"/>
        <rFont val="Aptos Narrow"/>
        <family val="2"/>
        <scheme val="minor"/>
      </rPr>
      <t xml:space="preserve"> qui fera la différence.</t>
    </r>
  </si>
  <si>
    <t xml:space="preserve"> - Entre 2 et 4 mètres linéaires accordés à leur future boutique</t>
  </si>
  <si>
    <t xml:space="preserve"> - Aucune des 4 catégories de produits sélectionnées/cochées</t>
  </si>
  <si>
    <t xml:space="preserve"> - Hôtels de plus de 50 chambres</t>
  </si>
  <si>
    <r>
      <rPr>
        <u/>
        <sz val="11"/>
        <color rgb="FFFF0000"/>
        <rFont val="Aptos Narrow"/>
        <family val="2"/>
        <scheme val="minor"/>
      </rPr>
      <t>En revanche, pour les hôtels répondant aux critères ci-dessous</t>
    </r>
    <r>
      <rPr>
        <sz val="11"/>
        <color rgb="FFFF0000"/>
        <rFont val="Aptos Narrow"/>
        <family val="2"/>
        <scheme val="minor"/>
      </rPr>
      <t xml:space="preserve"> :</t>
    </r>
  </si>
  <si>
    <r>
      <t xml:space="preserve">À partir du moment où l'hôtel souhaite consacrer à sa future boutique
</t>
    </r>
    <r>
      <rPr>
        <b/>
        <sz val="11"/>
        <color theme="1"/>
        <rFont val="Aptos Narrow"/>
        <family val="2"/>
        <scheme val="minor"/>
      </rPr>
      <t>plus de 4 mètres linéaires</t>
    </r>
    <r>
      <rPr>
        <sz val="11"/>
        <color theme="1"/>
        <rFont val="Aptos Narrow"/>
        <family val="2"/>
        <scheme val="minor"/>
      </rPr>
      <t xml:space="preserve">, alors le type de boutique qui s'affichera en premier sera le </t>
    </r>
    <r>
      <rPr>
        <b/>
        <sz val="11"/>
        <color theme="1"/>
        <rFont val="Aptos Narrow"/>
        <family val="2"/>
        <scheme val="minor"/>
      </rPr>
      <t>LIBERTY STORE</t>
    </r>
    <r>
      <rPr>
        <sz val="11"/>
        <color theme="1"/>
        <rFont val="Aptos Narrow"/>
        <family val="2"/>
        <scheme val="minor"/>
      </rPr>
      <t>.</t>
    </r>
  </si>
  <si>
    <r>
      <t xml:space="preserve">Dans le cas où </t>
    </r>
    <r>
      <rPr>
        <u/>
        <sz val="11"/>
        <color rgb="FFFF0000"/>
        <rFont val="Aptos Narrow"/>
        <family val="2"/>
        <scheme val="minor"/>
      </rPr>
      <t>aucune de ces 4 catégories n'est cochée</t>
    </r>
    <r>
      <rPr>
        <sz val="11"/>
        <color rgb="FFFF0000"/>
        <rFont val="Aptos Narrow"/>
        <family val="2"/>
        <scheme val="minor"/>
      </rPr>
      <t xml:space="preserve">, c'est le nombre de </t>
    </r>
    <r>
      <rPr>
        <b/>
        <sz val="11"/>
        <color rgb="FFFF0000"/>
        <rFont val="Aptos Narrow"/>
        <family val="2"/>
        <scheme val="minor"/>
      </rPr>
      <t>METRES LINEAIRES</t>
    </r>
    <r>
      <rPr>
        <sz val="11"/>
        <color rgb="FFFF0000"/>
        <rFont val="Aptos Narrow"/>
        <family val="2"/>
        <scheme val="minor"/>
      </rPr>
      <t xml:space="preserve"> qui permettra de définir le type de boutique qui s'affichera </t>
    </r>
    <r>
      <rPr>
        <u/>
        <sz val="11"/>
        <color rgb="FFFF0000"/>
        <rFont val="Aptos Narrow"/>
        <family val="2"/>
        <scheme val="minor"/>
      </rPr>
      <t>en premier</t>
    </r>
    <r>
      <rPr>
        <sz val="11"/>
        <color rgb="FFFF0000"/>
        <rFont val="Aptos Narrow"/>
        <family val="2"/>
        <scheme val="minor"/>
      </rPr>
      <t>.</t>
    </r>
  </si>
  <si>
    <t xml:space="preserve"> - Souvenirs</t>
  </si>
  <si>
    <t xml:space="preserve"> - Accessories</t>
  </si>
  <si>
    <t xml:space="preserve"> - Ready-to-wear</t>
  </si>
  <si>
    <t xml:space="preserve"> - Kids items</t>
  </si>
  <si>
    <t xml:space="preserve"> - Cosmetics</t>
  </si>
  <si>
    <r>
      <t xml:space="preserve">À partir du moment où l'hôtel souhaite vendre </t>
    </r>
    <r>
      <rPr>
        <b/>
        <sz val="11"/>
        <color theme="1"/>
        <rFont val="Aptos Narrow"/>
        <family val="2"/>
        <scheme val="minor"/>
      </rPr>
      <t>au minimum une des catégories ci-dessous</t>
    </r>
    <r>
      <rPr>
        <sz val="11"/>
        <color theme="1"/>
        <rFont val="Aptos Narrow"/>
        <family val="2"/>
        <scheme val="minor"/>
      </rPr>
      <t xml:space="preserve">, le type de boutique qui s'affichera en premier sera le </t>
    </r>
    <r>
      <rPr>
        <b/>
        <sz val="11"/>
        <color theme="1"/>
        <rFont val="Aptos Narrow"/>
        <family val="2"/>
        <scheme val="minor"/>
      </rPr>
      <t>LIBERTY STORE</t>
    </r>
    <r>
      <rPr>
        <sz val="11"/>
        <color theme="1"/>
        <rFont val="Aptos Narrow"/>
        <family val="2"/>
        <scheme val="minor"/>
      </rPr>
      <t>.</t>
    </r>
  </si>
  <si>
    <r>
      <t xml:space="preserve">Pour les hôtels qui ont </t>
    </r>
    <r>
      <rPr>
        <u/>
        <sz val="11"/>
        <color rgb="FFFF0000"/>
        <rFont val="Aptos Narrow"/>
        <family val="2"/>
        <scheme val="minor"/>
      </rPr>
      <t>plus de 50 chambres</t>
    </r>
    <r>
      <rPr>
        <sz val="11"/>
        <color rgb="FFFF0000"/>
        <rFont val="Aptos Narrow"/>
        <family val="2"/>
        <scheme val="minor"/>
      </rPr>
      <t xml:space="preserve">, le type de boutique qui s'affichera </t>
    </r>
    <r>
      <rPr>
        <u/>
        <sz val="11"/>
        <color rgb="FFFF0000"/>
        <rFont val="Aptos Narrow"/>
        <family val="2"/>
        <scheme val="minor"/>
      </rPr>
      <t>en premier</t>
    </r>
    <r>
      <rPr>
        <sz val="11"/>
        <color rgb="FFFF0000"/>
        <rFont val="Aptos Narrow"/>
        <family val="2"/>
        <scheme val="minor"/>
      </rPr>
      <t xml:space="preserve"> sera défini en fonction du </t>
    </r>
    <r>
      <rPr>
        <b/>
        <sz val="11"/>
        <color rgb="FFFF0000"/>
        <rFont val="Aptos Narrow"/>
        <family val="2"/>
        <scheme val="minor"/>
      </rPr>
      <t>PRODUCT MIX</t>
    </r>
    <r>
      <rPr>
        <sz val="11"/>
        <color rgb="FFFF0000"/>
        <rFont val="Aptos Narrow"/>
        <family val="2"/>
        <scheme val="minor"/>
      </rPr>
      <t>.</t>
    </r>
  </si>
  <si>
    <t>"Merci d'augmenter le nombre de mètres linéaires que vous accorderez à votre future boutique (le minimum est de 2 mètres linéaires)"</t>
  </si>
  <si>
    <r>
      <t xml:space="preserve">Pour les hôtels qui indiquent </t>
    </r>
    <r>
      <rPr>
        <u/>
        <sz val="11"/>
        <color rgb="FFFF0000"/>
        <rFont val="Aptos Narrow"/>
        <family val="2"/>
        <scheme val="minor"/>
      </rPr>
      <t>moins de 1 mètre linéaire</t>
    </r>
    <r>
      <rPr>
        <sz val="11"/>
        <color rgb="FFFF0000"/>
        <rFont val="Aptos Narrow"/>
        <family val="2"/>
        <scheme val="minor"/>
      </rPr>
      <t xml:space="preserve"> accordé à leur future boutique, message d'erreur suivant :</t>
    </r>
  </si>
  <si>
    <t>4m</t>
  </si>
  <si>
    <t>2m</t>
  </si>
  <si>
    <t>Wall linear meters</t>
  </si>
  <si>
    <t>no max</t>
  </si>
  <si>
    <t>Nb. of rooms</t>
  </si>
  <si>
    <t>max.</t>
  </si>
  <si>
    <t>min.</t>
  </si>
  <si>
    <t>si l'hôtel a complété les champs comme suit :</t>
  </si>
  <si>
    <r>
      <rPr>
        <b/>
        <sz val="11"/>
        <color theme="1"/>
        <rFont val="Aptos Narrow"/>
        <family val="2"/>
        <scheme val="minor"/>
      </rPr>
      <t>CONNECTED STORE</t>
    </r>
    <r>
      <rPr>
        <sz val="11"/>
        <color theme="1"/>
        <rFont val="Aptos Narrow"/>
        <family val="2"/>
        <scheme val="minor"/>
      </rPr>
      <t xml:space="preserve"> s'affiche </t>
    </r>
    <r>
      <rPr>
        <u/>
        <sz val="11"/>
        <color theme="1"/>
        <rFont val="Aptos Narrow"/>
        <family val="2"/>
        <scheme val="minor"/>
      </rPr>
      <t>en premier</t>
    </r>
    <r>
      <rPr>
        <sz val="11"/>
        <color theme="1"/>
        <rFont val="Aptos Narrow"/>
        <family val="2"/>
        <scheme val="minor"/>
      </rPr>
      <t>,</t>
    </r>
  </si>
  <si>
    <r>
      <rPr>
        <b/>
        <sz val="11"/>
        <color theme="1"/>
        <rFont val="Aptos Narrow"/>
        <family val="2"/>
        <scheme val="minor"/>
      </rPr>
      <t>LIBERTY STORE</t>
    </r>
    <r>
      <rPr>
        <sz val="11"/>
        <color theme="1"/>
        <rFont val="Aptos Narrow"/>
        <family val="2"/>
        <scheme val="minor"/>
      </rPr>
      <t xml:space="preserve"> s'affiche </t>
    </r>
    <r>
      <rPr>
        <u/>
        <sz val="11"/>
        <color theme="1"/>
        <rFont val="Aptos Narrow"/>
        <family val="2"/>
        <scheme val="minor"/>
      </rPr>
      <t>en premier</t>
    </r>
    <r>
      <rPr>
        <sz val="11"/>
        <color theme="1"/>
        <rFont val="Aptos Narrow"/>
        <family val="2"/>
        <scheme val="minor"/>
      </rPr>
      <t>,</t>
    </r>
  </si>
  <si>
    <r>
      <rPr>
        <b/>
        <sz val="11"/>
        <color theme="1"/>
        <rFont val="Aptos Narrow"/>
        <family val="2"/>
        <scheme val="minor"/>
      </rPr>
      <t>SIMPLY STORE</t>
    </r>
    <r>
      <rPr>
        <sz val="11"/>
        <color theme="1"/>
        <rFont val="Aptos Narrow"/>
        <family val="2"/>
        <scheme val="minor"/>
      </rPr>
      <t xml:space="preserve"> s'affiche </t>
    </r>
    <r>
      <rPr>
        <u/>
        <sz val="11"/>
        <color theme="1"/>
        <rFont val="Aptos Narrow"/>
        <family val="2"/>
        <scheme val="minor"/>
      </rPr>
      <t>en premier</t>
    </r>
    <r>
      <rPr>
        <sz val="11"/>
        <color theme="1"/>
        <rFont val="Aptos Narrow"/>
        <family val="2"/>
        <scheme val="minor"/>
      </rPr>
      <t>,</t>
    </r>
  </si>
  <si>
    <t>CONNECTED STORE</t>
  </si>
  <si>
    <t>LIBERTY STORE</t>
  </si>
  <si>
    <t>SIMPLY STORE</t>
  </si>
  <si>
    <t>REGLES POUR AFFICHAGE DU TYPE DE BOUTIQUE RECOMMANDE PAR L'INNOVATION LAB</t>
  </si>
  <si>
    <r>
      <t xml:space="preserve">~ X€ / mois
</t>
    </r>
    <r>
      <rPr>
        <i/>
        <sz val="12"/>
        <color theme="1"/>
        <rFont val="Aptos Narrow"/>
        <family val="2"/>
        <scheme val="minor"/>
      </rPr>
      <t>(amortissement sur 7 ans)</t>
    </r>
  </si>
  <si>
    <t>En fonction du type d'agencement sélectionné par l'hôtel, le montant de la mensualité s'adapte.</t>
  </si>
  <si>
    <t>Bespoke</t>
  </si>
  <si>
    <t>L'hôtel n'a plus qu'à sélectionner le type d'agencement qu'il souhaite.</t>
  </si>
  <si>
    <t>Les trois types d'agencement s'affichent (photos d'exemples d'agencement à confirmer en fonction de la place disponible).</t>
  </si>
  <si>
    <t>PROPOSED AUTONOMOUS SOLUTIONS &gt;&gt; AGENCEMENT</t>
  </si>
  <si>
    <r>
      <t xml:space="preserve">~ X€ / mois
</t>
    </r>
    <r>
      <rPr>
        <i/>
        <sz val="12"/>
        <color theme="1"/>
        <rFont val="Aptos Narrow"/>
        <family val="2"/>
        <scheme val="minor"/>
      </rPr>
      <t>(contract de 5 ans)</t>
    </r>
  </si>
  <si>
    <t>Par défaut, le "sélecteur" est sur le nombre de vitrine(s) réfrigérée(s) complétées par l'hôtel dans les étapes précédentes.</t>
  </si>
  <si>
    <t>"Merci de sélectionner au moins 1 vitrine réfrigérée"</t>
  </si>
  <si>
    <t>Sinon message d'erreur suivant :</t>
  </si>
  <si>
    <r>
      <t xml:space="preserve">1 vitrine réfrigérée minimum </t>
    </r>
    <r>
      <rPr>
        <u/>
        <sz val="11"/>
        <color theme="1"/>
        <rFont val="Aptos Narrow"/>
        <family val="2"/>
        <scheme val="minor"/>
      </rPr>
      <t>obligatoire</t>
    </r>
  </si>
  <si>
    <t>Règle :</t>
  </si>
  <si>
    <t>incrément 1</t>
  </si>
  <si>
    <t>Par défaut, le "sélecteur" est sur 1 si NON-F&amp;B (sinon 0)</t>
  </si>
  <si>
    <r>
      <t xml:space="preserve">Combien souhaitez-vous </t>
    </r>
    <r>
      <rPr>
        <u/>
        <sz val="11"/>
        <color theme="1"/>
        <rFont val="Aptos Narrow"/>
        <family val="2"/>
        <scheme val="minor"/>
      </rPr>
      <t>en acheter</t>
    </r>
    <r>
      <rPr>
        <sz val="11"/>
        <color theme="1"/>
        <rFont val="Aptos Narrow"/>
        <family val="2"/>
        <scheme val="minor"/>
      </rPr>
      <t xml:space="preserve"> ?</t>
    </r>
  </si>
  <si>
    <t>SI NON</t>
  </si>
  <si>
    <r>
      <t xml:space="preserve">Combien souhaitez-vous </t>
    </r>
    <r>
      <rPr>
        <u/>
        <sz val="11"/>
        <color theme="1"/>
        <rFont val="Aptos Narrow"/>
        <family val="2"/>
        <scheme val="minor"/>
      </rPr>
      <t>en installer</t>
    </r>
    <r>
      <rPr>
        <sz val="11"/>
        <color theme="1"/>
        <rFont val="Aptos Narrow"/>
        <family val="2"/>
        <scheme val="minor"/>
      </rPr>
      <t xml:space="preserve"> dans votre future boutique ?</t>
    </r>
  </si>
  <si>
    <t>SI OUI</t>
  </si>
  <si>
    <t>FRIGO AMBIANT</t>
  </si>
  <si>
    <r>
      <rPr>
        <sz val="14"/>
        <color rgb="FFFF0000"/>
        <rFont val="Segoe UI Emoji"/>
        <family val="2"/>
      </rPr>
      <t>↳</t>
    </r>
    <r>
      <rPr>
        <sz val="11"/>
        <color rgb="FFFF0000"/>
        <rFont val="Aptos Narrow"/>
        <family val="2"/>
        <scheme val="minor"/>
      </rPr>
      <t xml:space="preserve"> Information récupérée à partir des étapes précédentes complétées par l'hôtel</t>
    </r>
  </si>
  <si>
    <r>
      <t xml:space="preserve">Le "FRIGO AMBIANT" s'affiche
</t>
    </r>
    <r>
      <rPr>
        <u/>
        <sz val="11"/>
        <color rgb="FFFF0000"/>
        <rFont val="Aptos Narrow"/>
        <family val="2"/>
        <scheme val="minor"/>
      </rPr>
      <t>seulement</t>
    </r>
    <r>
      <rPr>
        <sz val="11"/>
        <color rgb="FFFF0000"/>
        <rFont val="Aptos Narrow"/>
        <family val="2"/>
        <scheme val="minor"/>
      </rPr>
      <t xml:space="preserve"> si l'hôtel a indiqué vouloir mettre
du </t>
    </r>
    <r>
      <rPr>
        <b/>
        <sz val="11"/>
        <color rgb="FFFF0000"/>
        <rFont val="Aptos Narrow"/>
        <family val="2"/>
        <scheme val="minor"/>
      </rPr>
      <t>NON-F&amp;B</t>
    </r>
    <r>
      <rPr>
        <sz val="11"/>
        <color rgb="FFFF0000"/>
        <rFont val="Aptos Narrow"/>
        <family val="2"/>
        <scheme val="minor"/>
      </rPr>
      <t xml:space="preserve"> dans son PRODUCT MIX
</t>
    </r>
    <r>
      <rPr>
        <i/>
        <sz val="11"/>
        <color rgb="FFFF0000"/>
        <rFont val="Aptos Narrow"/>
        <family val="2"/>
        <scheme val="minor"/>
      </rPr>
      <t>(min. 10% car incrément de 10%)</t>
    </r>
  </si>
  <si>
    <t>Disposez-vous déjà d'une vitrine réfrigérée disponible pour votre future boutique autonome ?</t>
  </si>
  <si>
    <t>Par défaut, le "sélecteur" est sur 1 si F&amp;B (sinon 0)</t>
  </si>
  <si>
    <r>
      <t xml:space="preserve">La partie ci-dessous s'affiche
</t>
    </r>
    <r>
      <rPr>
        <u/>
        <sz val="11"/>
        <color rgb="FFFF0000"/>
        <rFont val="Aptos Narrow"/>
        <family val="2"/>
        <scheme val="minor"/>
      </rPr>
      <t>seulement</t>
    </r>
    <r>
      <rPr>
        <sz val="11"/>
        <color rgb="FFFF0000"/>
        <rFont val="Aptos Narrow"/>
        <family val="2"/>
        <scheme val="minor"/>
      </rPr>
      <t xml:space="preserve"> si l'hôtel a indiqué vouloir mettre
du </t>
    </r>
    <r>
      <rPr>
        <b/>
        <sz val="11"/>
        <color rgb="FFFF0000"/>
        <rFont val="Aptos Narrow"/>
        <family val="2"/>
        <scheme val="minor"/>
      </rPr>
      <t>F&amp;B</t>
    </r>
    <r>
      <rPr>
        <sz val="11"/>
        <color rgb="FFFF0000"/>
        <rFont val="Aptos Narrow"/>
        <family val="2"/>
        <scheme val="minor"/>
      </rPr>
      <t xml:space="preserve"> dans son PRODUCT MIX
</t>
    </r>
    <r>
      <rPr>
        <i/>
        <sz val="11"/>
        <color rgb="FFFF0000"/>
        <rFont val="Aptos Narrow"/>
        <family val="2"/>
        <scheme val="minor"/>
      </rPr>
      <t>(min. 10% car incrément de 10%)</t>
    </r>
  </si>
  <si>
    <t>Par défaut, le "sélecteur" est sur 1</t>
  </si>
  <si>
    <r>
      <t xml:space="preserve">1 caisse minimum </t>
    </r>
    <r>
      <rPr>
        <u/>
        <sz val="11"/>
        <color theme="1"/>
        <rFont val="Aptos Narrow"/>
        <family val="2"/>
        <scheme val="minor"/>
      </rPr>
      <t>obligatoire</t>
    </r>
  </si>
  <si>
    <r>
      <t xml:space="preserve">1 scanner minimum </t>
    </r>
    <r>
      <rPr>
        <u/>
        <sz val="11"/>
        <color theme="1"/>
        <rFont val="Aptos Narrow"/>
        <family val="2"/>
        <scheme val="minor"/>
      </rPr>
      <t>obligatoire</t>
    </r>
  </si>
  <si>
    <t>FRIGO FROID</t>
  </si>
  <si>
    <r>
      <t xml:space="preserve">Le "FRIGO FROID" s'affiche
</t>
    </r>
    <r>
      <rPr>
        <u/>
        <sz val="11"/>
        <color rgb="FFFF0000"/>
        <rFont val="Aptos Narrow"/>
        <family val="2"/>
        <scheme val="minor"/>
      </rPr>
      <t>seulement</t>
    </r>
    <r>
      <rPr>
        <sz val="11"/>
        <color rgb="FFFF0000"/>
        <rFont val="Aptos Narrow"/>
        <family val="2"/>
        <scheme val="minor"/>
      </rPr>
      <t xml:space="preserve"> si l'hôtel a indiqué vouloir mettre
du </t>
    </r>
    <r>
      <rPr>
        <b/>
        <sz val="11"/>
        <color rgb="FFFF0000"/>
        <rFont val="Aptos Narrow"/>
        <family val="2"/>
        <scheme val="minor"/>
      </rPr>
      <t>F&amp;B</t>
    </r>
    <r>
      <rPr>
        <sz val="11"/>
        <color rgb="FFFF0000"/>
        <rFont val="Aptos Narrow"/>
        <family val="2"/>
        <scheme val="minor"/>
      </rPr>
      <t xml:space="preserve"> dans son PRODUCT MIX
</t>
    </r>
    <r>
      <rPr>
        <i/>
        <sz val="11"/>
        <color rgb="FFFF0000"/>
        <rFont val="Aptos Narrow"/>
        <family val="2"/>
        <scheme val="minor"/>
      </rPr>
      <t>(min. 10% car incrément de 10%)</t>
    </r>
  </si>
  <si>
    <r>
      <rPr>
        <b/>
        <sz val="11"/>
        <color theme="1"/>
        <rFont val="Aptos Narrow"/>
        <family val="2"/>
        <scheme val="minor"/>
      </rPr>
      <t>Explications du concept</t>
    </r>
    <r>
      <rPr>
        <i/>
        <sz val="11"/>
        <color theme="1"/>
        <rFont val="Aptos Narrow"/>
        <family val="2"/>
        <scheme val="minor"/>
      </rPr>
      <t xml:space="preserve">
(à confirmer si suffisamment de place)</t>
    </r>
  </si>
  <si>
    <t>Une seule solution à la fois peut-être sélectionnée par l'hôtel afin d'obtenir les résultats du simulateur (CA F&amp;B, CA NON-F&amp;B…).</t>
  </si>
  <si>
    <r>
      <t xml:space="preserve">La solution (type de boutique) qui s'affichera </t>
    </r>
    <r>
      <rPr>
        <u/>
        <sz val="11"/>
        <color rgb="FFFF0000"/>
        <rFont val="Aptos Narrow"/>
        <family val="2"/>
        <scheme val="minor"/>
      </rPr>
      <t>en premier</t>
    </r>
    <r>
      <rPr>
        <sz val="11"/>
        <color rgb="FFFF0000"/>
        <rFont val="Aptos Narrow"/>
        <family val="2"/>
        <scheme val="minor"/>
      </rPr>
      <t xml:space="preserve">, sera la solution </t>
    </r>
    <r>
      <rPr>
        <u/>
        <sz val="11"/>
        <color rgb="FFFF0000"/>
        <rFont val="Aptos Narrow"/>
        <family val="2"/>
        <scheme val="minor"/>
      </rPr>
      <t>recommandée par l'Innovation Lab</t>
    </r>
    <r>
      <rPr>
        <sz val="11"/>
        <color rgb="FFFF0000"/>
        <rFont val="Aptos Narrow"/>
        <family val="2"/>
        <scheme val="minor"/>
      </rPr>
      <t xml:space="preserve"> en fonction des paramètres qui seront indiqués/complétés par l'hôtel dans le simulateur.</t>
    </r>
  </si>
  <si>
    <t>Les trois solutions (types de boutique) s'affichent &gt;&gt; voir design proposé par Sylvain &gt;&gt; bouton "NEXT OPTIONS".</t>
  </si>
  <si>
    <t>PROPOSED AUTONOMOUS SOLUTIONS &gt;&gt; MATERIEL</t>
  </si>
  <si>
    <t>&gt;&gt; Voir le % associé à chaque catégorie dans l'onglet "PROJECTIONS"</t>
  </si>
  <si>
    <r>
      <t xml:space="preserve">Si la catégorie </t>
    </r>
    <r>
      <rPr>
        <u/>
        <sz val="11"/>
        <color rgb="FFFF0000"/>
        <rFont val="Aptos Narrow"/>
        <family val="2"/>
        <scheme val="minor"/>
      </rPr>
      <t>n'est pas</t>
    </r>
    <r>
      <rPr>
        <sz val="11"/>
        <color rgb="FFFF0000"/>
        <rFont val="Aptos Narrow"/>
        <family val="2"/>
        <scheme val="minor"/>
      </rPr>
      <t xml:space="preserve"> cochée </t>
    </r>
    <r>
      <rPr>
        <b/>
        <sz val="11"/>
        <color rgb="FFFF0000"/>
        <rFont val="Aptos Narrow"/>
        <family val="2"/>
        <scheme val="minor"/>
      </rPr>
      <t>-X%</t>
    </r>
  </si>
  <si>
    <r>
      <t xml:space="preserve">Si la catégorie est cochée </t>
    </r>
    <r>
      <rPr>
        <b/>
        <sz val="11"/>
        <color rgb="FFFF0000"/>
        <rFont val="Aptos Narrow"/>
        <family val="2"/>
        <scheme val="minor"/>
      </rPr>
      <t>+X%</t>
    </r>
  </si>
  <si>
    <t>Influence des catégories choisies/sélectionnées sur la projection de CA</t>
  </si>
  <si>
    <r>
      <rPr>
        <b/>
        <sz val="11"/>
        <color theme="1"/>
        <rFont val="Aptos Narrow"/>
        <family val="2"/>
        <scheme val="minor"/>
      </rPr>
      <t>Wall linear meters
1.</t>
    </r>
    <r>
      <rPr>
        <sz val="11"/>
        <color theme="1"/>
        <rFont val="Aptos Narrow"/>
        <family val="2"/>
        <scheme val="minor"/>
      </rPr>
      <t xml:space="preserve"> En fonction du nom de l'espace sélectionné par l'hôtel dans la liste déroulante, les données correspondantes (mètres linéaires et m²) s'affichent automatiquement.
</t>
    </r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Les m² se calculent </t>
    </r>
    <r>
      <rPr>
        <u/>
        <sz val="11"/>
        <color theme="1"/>
        <rFont val="Aptos Narrow"/>
        <family val="2"/>
        <scheme val="minor"/>
      </rPr>
      <t>automatiquement</t>
    </r>
    <r>
      <rPr>
        <sz val="11"/>
        <color theme="1"/>
        <rFont val="Aptos Narrow"/>
        <family val="2"/>
        <scheme val="minor"/>
      </rPr>
      <t xml:space="preserve"> en fonction du nombre de mètres linéaires affichés (qui peut être modifié par l'hôtel lors de sa simulation).
</t>
    </r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La règle est que la profondeur moyenne d'une boutique est de </t>
    </r>
    <r>
      <rPr>
        <u/>
        <sz val="11"/>
        <color theme="1"/>
        <rFont val="Aptos Narrow"/>
        <family val="2"/>
        <scheme val="minor"/>
      </rPr>
      <t>1m</t>
    </r>
    <r>
      <rPr>
        <sz val="11"/>
        <color theme="1"/>
        <rFont val="Aptos Narrow"/>
        <family val="2"/>
        <scheme val="minor"/>
      </rPr>
      <t xml:space="preserve"> (exemple : un espace avec 6 mètres linéaires fera automatiquement 6m²).</t>
    </r>
  </si>
  <si>
    <t>No specific rules</t>
  </si>
  <si>
    <t>REGLES CONCERNANT LES PARAMETRES CI-DESSUS</t>
  </si>
  <si>
    <t>Gourmet food</t>
  </si>
  <si>
    <t>Salty food (fresh)</t>
  </si>
  <si>
    <t>Salty food (dry)</t>
  </si>
  <si>
    <t>Sugary food (fresh)</t>
  </si>
  <si>
    <t>Sugary food (dry)</t>
  </si>
  <si>
    <t>Drinks with alcohol</t>
  </si>
  <si>
    <t>Drinks without alcohol</t>
  </si>
  <si>
    <t>m²</t>
  </si>
  <si>
    <t>auto</t>
  </si>
  <si>
    <t>Square meters</t>
  </si>
  <si>
    <t>Average occ. rate</t>
  </si>
  <si>
    <t>30m</t>
  </si>
  <si>
    <t>incrément 0,5</t>
  </si>
  <si>
    <t>Nb. of guests /room</t>
  </si>
  <si>
    <t>incrément 10%</t>
  </si>
  <si>
    <t>liste déroulante</t>
  </si>
  <si>
    <t>Name of the space</t>
  </si>
  <si>
    <t>PRODUCT MIX</t>
  </si>
  <si>
    <t>RETAIL SPACE(S)</t>
  </si>
  <si>
    <t>HOTEL PARAMETERS</t>
  </si>
  <si>
    <t>CRITERES POUR PANEL REPRESENTATIF (TESTS SIMULATEUR)</t>
  </si>
  <si>
    <t>PROTOTYPE - SIMULATEUR ROD + REGLES POUR RECO DU CONCEPT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</si>
</sst>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_-* #,##0\ &quot;€&quot;_-;\-* #,##0\ &quot;€&quot;_-;_-* &quot;-&quot;??\ &quot;€&quot;_-;_-@_-"/>
    <numFmt numFmtId="166" formatCode="_-* #,##0_-;\-* #,##0_-;_-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7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6"/>
      <color theme="1"/>
      <name val="Segoe UI Emoji"/>
      <family val="2"/>
    </font>
    <font>
      <b/>
      <sz val="14"/>
      <color rgb="FF92D05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8" tint="0.39997558519241921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rgb="FFFF0000"/>
      <name val="Segoe UI Emoji"/>
      <family val="2"/>
    </font>
    <font>
      <sz val="14"/>
      <color rgb="FFFF0000"/>
      <name val="Segoe UI Emoji"/>
      <family val="2"/>
    </font>
    <font>
      <b/>
      <sz val="9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24994659260841701"/>
      </left>
      <right style="medium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5" fillId="5" borderId="1" xfId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 indent="1"/>
    </xf>
    <xf numFmtId="0" fontId="0" fillId="5" borderId="0" xfId="0" applyFill="1"/>
    <xf numFmtId="0" fontId="3" fillId="2" borderId="0" xfId="0" applyFont="1" applyFill="1" applyAlignment="1">
      <alignment horizontal="center"/>
    </xf>
    <xf numFmtId="1" fontId="0" fillId="3" borderId="1" xfId="2" applyNumberFormat="1" applyFont="1" applyFill="1" applyBorder="1" applyAlignment="1">
      <alignment horizontal="center" vertical="center"/>
    </xf>
    <xf numFmtId="0" fontId="0" fillId="0" borderId="2" xfId="0" applyBorder="1"/>
    <xf numFmtId="1" fontId="3" fillId="2" borderId="1" xfId="2" applyNumberFormat="1" applyFont="1" applyFill="1" applyBorder="1" applyAlignment="1">
      <alignment horizontal="center" vertical="center"/>
    </xf>
    <xf numFmtId="0" fontId="8" fillId="0" borderId="0" xfId="0" applyFont="1"/>
    <xf numFmtId="165" fontId="3" fillId="2" borderId="1" xfId="4" applyNumberFormat="1" applyFont="1" applyFill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right" vertical="center" indent="1"/>
    </xf>
    <xf numFmtId="0" fontId="1" fillId="0" borderId="0" xfId="0" applyFont="1" applyAlignment="1">
      <alignment horizontal="center"/>
    </xf>
    <xf numFmtId="165" fontId="10" fillId="2" borderId="1" xfId="4" applyNumberFormat="1" applyFon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" fontId="7" fillId="0" borderId="0" xfId="3" applyNumberFormat="1" applyFont="1" applyAlignment="1">
      <alignment vertical="center"/>
    </xf>
    <xf numFmtId="9" fontId="7" fillId="0" borderId="0" xfId="2" applyFont="1" applyAlignment="1">
      <alignment vertical="center"/>
    </xf>
    <xf numFmtId="9" fontId="14" fillId="0" borderId="0" xfId="2" applyFont="1" applyAlignment="1">
      <alignment vertical="center"/>
    </xf>
    <xf numFmtId="0" fontId="7" fillId="0" borderId="3" xfId="0" applyFont="1" applyBorder="1" applyAlignment="1">
      <alignment horizontal="left" vertical="center" indent="1"/>
    </xf>
    <xf numFmtId="9" fontId="7" fillId="0" borderId="4" xfId="2" applyFont="1" applyBorder="1" applyAlignment="1">
      <alignment vertical="center"/>
    </xf>
    <xf numFmtId="0" fontId="14" fillId="0" borderId="5" xfId="0" applyFont="1" applyBorder="1" applyAlignment="1">
      <alignment horizontal="left" vertical="center" indent="1"/>
    </xf>
    <xf numFmtId="9" fontId="14" fillId="0" borderId="6" xfId="2" applyFont="1" applyBorder="1" applyAlignment="1">
      <alignment vertical="center"/>
    </xf>
    <xf numFmtId="0" fontId="7" fillId="0" borderId="5" xfId="0" applyFont="1" applyBorder="1" applyAlignment="1">
      <alignment horizontal="left" vertical="center" indent="1"/>
    </xf>
    <xf numFmtId="9" fontId="7" fillId="0" borderId="6" xfId="2" applyFont="1" applyBorder="1" applyAlignment="1">
      <alignment vertical="center"/>
    </xf>
    <xf numFmtId="0" fontId="15" fillId="0" borderId="0" xfId="0" applyFont="1"/>
    <xf numFmtId="0" fontId="3" fillId="0" borderId="0" xfId="0" applyFont="1" applyAlignment="1">
      <alignment horizontal="center"/>
    </xf>
    <xf numFmtId="9" fontId="0" fillId="0" borderId="0" xfId="2" applyFont="1" applyFill="1" applyBorder="1"/>
    <xf numFmtId="9" fontId="0" fillId="5" borderId="0" xfId="2" applyFont="1" applyFill="1" applyBorder="1"/>
    <xf numFmtId="0" fontId="1" fillId="0" borderId="0" xfId="0" applyFont="1" applyAlignment="1">
      <alignment horizontal="right"/>
    </xf>
    <xf numFmtId="0" fontId="0" fillId="0" borderId="9" xfId="0" applyBorder="1"/>
    <xf numFmtId="0" fontId="0" fillId="5" borderId="9" xfId="0" applyFill="1" applyBorder="1"/>
    <xf numFmtId="9" fontId="17" fillId="0" borderId="10" xfId="2" applyFont="1" applyFill="1" applyBorder="1"/>
    <xf numFmtId="9" fontId="17" fillId="5" borderId="10" xfId="2" applyFont="1" applyFill="1" applyBorder="1"/>
    <xf numFmtId="0" fontId="7" fillId="0" borderId="0" xfId="0" applyFont="1" applyAlignment="1">
      <alignment horizontal="right"/>
    </xf>
    <xf numFmtId="9" fontId="8" fillId="0" borderId="10" xfId="2" applyFont="1" applyFill="1" applyBorder="1"/>
    <xf numFmtId="9" fontId="8" fillId="5" borderId="10" xfId="2" applyFont="1" applyFill="1" applyBorder="1"/>
    <xf numFmtId="0" fontId="3" fillId="2" borderId="0" xfId="0" applyFont="1" applyFill="1"/>
    <xf numFmtId="0" fontId="3" fillId="2" borderId="9" xfId="0" applyFont="1" applyFill="1" applyBorder="1"/>
    <xf numFmtId="9" fontId="3" fillId="2" borderId="10" xfId="2" applyFont="1" applyFill="1" applyBorder="1"/>
    <xf numFmtId="0" fontId="19" fillId="0" borderId="0" xfId="0" applyFont="1"/>
    <xf numFmtId="9" fontId="18" fillId="2" borderId="0" xfId="2" applyFont="1" applyFill="1" applyBorder="1"/>
    <xf numFmtId="9" fontId="7" fillId="0" borderId="0" xfId="0" applyNumberFormat="1" applyFont="1"/>
    <xf numFmtId="9" fontId="7" fillId="5" borderId="0" xfId="2" applyFont="1" applyFill="1" applyBorder="1"/>
    <xf numFmtId="9" fontId="7" fillId="0" borderId="0" xfId="2" applyFont="1" applyBorder="1"/>
    <xf numFmtId="9" fontId="7" fillId="0" borderId="0" xfId="2" applyFont="1" applyFill="1" applyBorder="1"/>
    <xf numFmtId="0" fontId="0" fillId="5" borderId="0" xfId="0" applyFill="1" applyAlignment="1">
      <alignment horizontal="center"/>
    </xf>
    <xf numFmtId="9" fontId="3" fillId="2" borderId="0" xfId="2" applyFont="1" applyFill="1" applyAlignment="1">
      <alignment horizontal="right" vertical="center"/>
    </xf>
    <xf numFmtId="1" fontId="7" fillId="0" borderId="0" xfId="3" applyNumberFormat="1" applyFont="1" applyAlignment="1">
      <alignment horizontal="right" vertical="center"/>
    </xf>
    <xf numFmtId="1" fontId="3" fillId="2" borderId="0" xfId="3" applyNumberFormat="1" applyFont="1" applyFill="1" applyAlignment="1">
      <alignment vertical="center"/>
    </xf>
    <xf numFmtId="1" fontId="14" fillId="0" borderId="0" xfId="3" applyNumberFormat="1" applyFont="1" applyAlignment="1">
      <alignment vertical="center"/>
    </xf>
    <xf numFmtId="1" fontId="0" fillId="0" borderId="0" xfId="0" applyNumberFormat="1" applyAlignment="1">
      <alignment vertical="center"/>
    </xf>
    <xf numFmtId="1" fontId="7" fillId="0" borderId="11" xfId="3" applyNumberFormat="1" applyFont="1" applyBorder="1" applyAlignment="1">
      <alignment vertical="center"/>
    </xf>
    <xf numFmtId="1" fontId="14" fillId="0" borderId="0" xfId="3" applyNumberFormat="1" applyFont="1" applyBorder="1" applyAlignment="1">
      <alignment vertical="center"/>
    </xf>
    <xf numFmtId="1" fontId="7" fillId="0" borderId="0" xfId="3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9" fontId="3" fillId="2" borderId="0" xfId="2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9" fontId="3" fillId="0" borderId="0" xfId="2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9" fontId="16" fillId="3" borderId="0" xfId="0" applyNumberFormat="1" applyFont="1" applyFill="1" applyAlignment="1">
      <alignment horizontal="center" vertical="center"/>
    </xf>
    <xf numFmtId="9" fontId="16" fillId="3" borderId="0" xfId="2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" fillId="9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center" vertical="center"/>
    </xf>
    <xf numFmtId="1" fontId="15" fillId="9" borderId="0" xfId="0" applyNumberFormat="1" applyFont="1" applyFill="1" applyAlignment="1">
      <alignment horizontal="center" vertical="center"/>
    </xf>
    <xf numFmtId="0" fontId="9" fillId="2" borderId="0" xfId="0" applyFont="1" applyFill="1"/>
    <xf numFmtId="1" fontId="1" fillId="3" borderId="1" xfId="2" applyNumberFormat="1" applyFont="1" applyFill="1" applyBorder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11" fillId="2" borderId="0" xfId="0" applyFont="1" applyFill="1"/>
    <xf numFmtId="0" fontId="25" fillId="2" borderId="0" xfId="0" applyFont="1" applyFill="1"/>
    <xf numFmtId="0" fontId="26" fillId="2" borderId="0" xfId="0" applyFont="1" applyFill="1"/>
    <xf numFmtId="164" fontId="0" fillId="10" borderId="1" xfId="2" applyNumberFormat="1" applyFont="1" applyFill="1" applyBorder="1" applyAlignment="1">
      <alignment horizontal="center" vertical="center"/>
    </xf>
    <xf numFmtId="9" fontId="0" fillId="10" borderId="1" xfId="2" applyFont="1" applyFill="1" applyBorder="1" applyAlignment="1">
      <alignment horizontal="center" vertical="center"/>
    </xf>
    <xf numFmtId="0" fontId="27" fillId="2" borderId="0" xfId="0" applyFont="1" applyFill="1"/>
    <xf numFmtId="49" fontId="10" fillId="0" borderId="0" xfId="0" applyNumberFormat="1" applyFont="1"/>
    <xf numFmtId="165" fontId="9" fillId="2" borderId="1" xfId="4" applyNumberFormat="1" applyFont="1" applyFill="1" applyBorder="1" applyAlignment="1">
      <alignment horizontal="center" vertical="center"/>
    </xf>
    <xf numFmtId="1" fontId="10" fillId="2" borderId="1" xfId="2" applyNumberFormat="1" applyFont="1" applyFill="1" applyBorder="1" applyAlignment="1">
      <alignment horizontal="right" vertical="center" indent="1"/>
    </xf>
    <xf numFmtId="0" fontId="28" fillId="2" borderId="0" xfId="0" applyFont="1" applyFill="1"/>
    <xf numFmtId="0" fontId="29" fillId="2" borderId="0" xfId="0" applyFont="1" applyFill="1"/>
    <xf numFmtId="1" fontId="10" fillId="2" borderId="1" xfId="2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1" fontId="3" fillId="2" borderId="12" xfId="3" applyNumberFormat="1" applyFont="1" applyFill="1" applyBorder="1" applyAlignment="1">
      <alignment vertical="center"/>
    </xf>
    <xf numFmtId="9" fontId="3" fillId="2" borderId="8" xfId="2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 indent="1"/>
    </xf>
    <xf numFmtId="9" fontId="12" fillId="0" borderId="4" xfId="2" applyFont="1" applyBorder="1" applyAlignment="1">
      <alignment vertical="center"/>
    </xf>
    <xf numFmtId="0" fontId="12" fillId="0" borderId="5" xfId="0" applyFont="1" applyBorder="1" applyAlignment="1">
      <alignment horizontal="left" vertical="center" indent="1"/>
    </xf>
    <xf numFmtId="9" fontId="12" fillId="0" borderId="6" xfId="2" applyFont="1" applyBorder="1" applyAlignment="1">
      <alignment vertical="center"/>
    </xf>
    <xf numFmtId="0" fontId="3" fillId="2" borderId="7" xfId="0" applyFont="1" applyFill="1" applyBorder="1" applyAlignment="1">
      <alignment horizontal="left" vertical="center" indent="1"/>
    </xf>
    <xf numFmtId="166" fontId="12" fillId="0" borderId="11" xfId="3" applyNumberFormat="1" applyFont="1" applyBorder="1" applyAlignment="1">
      <alignment vertical="center"/>
    </xf>
    <xf numFmtId="166" fontId="12" fillId="0" borderId="0" xfId="3" applyNumberFormat="1" applyFont="1" applyBorder="1" applyAlignment="1">
      <alignment vertical="center"/>
    </xf>
    <xf numFmtId="166" fontId="3" fillId="2" borderId="12" xfId="3" applyNumberFormat="1" applyFont="1" applyFill="1" applyBorder="1" applyAlignment="1">
      <alignment vertical="center"/>
    </xf>
    <xf numFmtId="0" fontId="30" fillId="0" borderId="0" xfId="0" applyFont="1"/>
    <xf numFmtId="0" fontId="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1" fontId="8" fillId="0" borderId="25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38" fillId="2" borderId="0" xfId="0" applyFont="1" applyFill="1" applyAlignment="1">
      <alignment vertical="center"/>
    </xf>
    <xf numFmtId="0" fontId="38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left" vertical="center" indent="1"/>
    </xf>
    <xf numFmtId="0" fontId="24" fillId="0" borderId="0" xfId="0" applyFont="1" applyAlignment="1">
      <alignment horizontal="center" vertical="center" wrapText="1"/>
    </xf>
    <xf numFmtId="3" fontId="23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8" borderId="13" xfId="0" applyFont="1" applyFill="1" applyBorder="1" applyAlignment="1">
      <alignment horizontal="left" vertical="top" wrapText="1"/>
    </xf>
    <xf numFmtId="0" fontId="1" fillId="8" borderId="14" xfId="0" applyFont="1" applyFill="1" applyBorder="1" applyAlignment="1">
      <alignment horizontal="left" vertical="top" wrapText="1"/>
    </xf>
    <xf numFmtId="0" fontId="1" fillId="8" borderId="15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33" fillId="8" borderId="0" xfId="0" applyFont="1" applyFill="1" applyAlignment="1">
      <alignment horizontal="center" vertical="center"/>
    </xf>
    <xf numFmtId="0" fontId="33" fillId="8" borderId="19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5">
    <cellStyle name="Lien hypertexte" xfId="1" builtinId="8"/>
    <cellStyle name="Milliers" xfId="3" builtinId="3"/>
    <cellStyle name="Monétaire" xfId="4" builtinId="4"/>
    <cellStyle name="Normal" xfId="0" builtinId="0"/>
    <cellStyle name="Pourcentage" xfId="2" builtinId="5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microsoft.com/office/2007/relationships/hdphoto" Target="../media/hdphoto2.wdp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318595</xdr:colOff>
      <xdr:row>24</xdr:row>
      <xdr:rowOff>52552</xdr:rowOff>
    </xdr:from>
    <xdr:to>
      <xdr:col>17</xdr:col>
      <xdr:colOff>318595</xdr:colOff>
      <xdr:row>26</xdr:row>
      <xdr:rowOff>140075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76C2D97E-9613-4C38-A88F-1CA0113F2B11}"/>
            </a:ext>
          </a:extLst>
        </xdr:cNvPr>
        <xdr:cNvCxnSpPr/>
      </xdr:nvCxnSpPr>
      <xdr:spPr>
        <a:xfrm flipH="1">
          <a:off x="9957895" y="4007332"/>
          <a:ext cx="0" cy="52186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341586</xdr:colOff>
      <xdr:row>25</xdr:row>
      <xdr:rowOff>84083</xdr:rowOff>
    </xdr:from>
    <xdr:to>
      <xdr:col>17</xdr:col>
      <xdr:colOff>325820</xdr:colOff>
      <xdr:row>25</xdr:row>
      <xdr:rowOff>84083</xdr:rowOff>
    </xdr:to>
    <xdr:cxnSp macro="">
      <xdr:nvCxnSpPr>
        <xdr:cNvPr id="24" name="Connecteur droit 23">
          <a:extLst>
            <a:ext uri="{FF2B5EF4-FFF2-40B4-BE49-F238E27FC236}">
              <a16:creationId xmlns:a16="http://schemas.microsoft.com/office/drawing/2014/main" id="{96E86592-86FF-F652-442C-AEBB1DBAFA4E}"/>
            </a:ext>
          </a:extLst>
        </xdr:cNvPr>
        <xdr:cNvCxnSpPr/>
      </xdr:nvCxnSpPr>
      <xdr:spPr>
        <a:xfrm flipH="1">
          <a:off x="6574746" y="4221743"/>
          <a:ext cx="3390374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344871</xdr:colOff>
      <xdr:row>25</xdr:row>
      <xdr:rowOff>78828</xdr:rowOff>
    </xdr:from>
    <xdr:to>
      <xdr:col>11</xdr:col>
      <xdr:colOff>344871</xdr:colOff>
      <xdr:row>26</xdr:row>
      <xdr:rowOff>140075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998BD58F-7F52-4403-848F-9515475F0AC5}"/>
            </a:ext>
          </a:extLst>
        </xdr:cNvPr>
        <xdr:cNvCxnSpPr/>
      </xdr:nvCxnSpPr>
      <xdr:spPr>
        <a:xfrm flipH="1">
          <a:off x="6578031" y="4216488"/>
          <a:ext cx="0" cy="312707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318595</xdr:colOff>
      <xdr:row>38</xdr:row>
      <xdr:rowOff>52551</xdr:rowOff>
    </xdr:from>
    <xdr:to>
      <xdr:col>17</xdr:col>
      <xdr:colOff>318595</xdr:colOff>
      <xdr:row>40</xdr:row>
      <xdr:rowOff>140211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76169C00-9DA5-4F9F-B620-592995C46CC1}"/>
            </a:ext>
          </a:extLst>
        </xdr:cNvPr>
        <xdr:cNvCxnSpPr/>
      </xdr:nvCxnSpPr>
      <xdr:spPr>
        <a:xfrm flipH="1">
          <a:off x="9706435" y="6918171"/>
          <a:ext cx="0" cy="5220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341586</xdr:colOff>
      <xdr:row>39</xdr:row>
      <xdr:rowOff>84083</xdr:rowOff>
    </xdr:from>
    <xdr:to>
      <xdr:col>17</xdr:col>
      <xdr:colOff>325820</xdr:colOff>
      <xdr:row>39</xdr:row>
      <xdr:rowOff>84083</xdr:rowOff>
    </xdr:to>
    <xdr:cxnSp macro="">
      <xdr:nvCxnSpPr>
        <xdr:cNvPr id="32" name="Connecteur droit 31">
          <a:extLst>
            <a:ext uri="{FF2B5EF4-FFF2-40B4-BE49-F238E27FC236}">
              <a16:creationId xmlns:a16="http://schemas.microsoft.com/office/drawing/2014/main" id="{F79ADF4F-8557-4B64-9DC2-54F573ED4F50}"/>
            </a:ext>
          </a:extLst>
        </xdr:cNvPr>
        <xdr:cNvCxnSpPr/>
      </xdr:nvCxnSpPr>
      <xdr:spPr>
        <a:xfrm flipH="1">
          <a:off x="6574746" y="4221743"/>
          <a:ext cx="3390374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344871</xdr:colOff>
      <xdr:row>39</xdr:row>
      <xdr:rowOff>78828</xdr:rowOff>
    </xdr:from>
    <xdr:to>
      <xdr:col>11</xdr:col>
      <xdr:colOff>344871</xdr:colOff>
      <xdr:row>40</xdr:row>
      <xdr:rowOff>140075</xdr:rowOff>
    </xdr:to>
    <xdr:cxnSp macro="">
      <xdr:nvCxnSpPr>
        <xdr:cNvPr id="33" name="Connecteur droit avec flèche 32">
          <a:extLst>
            <a:ext uri="{FF2B5EF4-FFF2-40B4-BE49-F238E27FC236}">
              <a16:creationId xmlns:a16="http://schemas.microsoft.com/office/drawing/2014/main" id="{7A989B4B-9CF7-445C-B7B3-6FD57C2FED3D}"/>
            </a:ext>
          </a:extLst>
        </xdr:cNvPr>
        <xdr:cNvCxnSpPr/>
      </xdr:nvCxnSpPr>
      <xdr:spPr>
        <a:xfrm flipH="1">
          <a:off x="6578031" y="4216488"/>
          <a:ext cx="0" cy="312707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341586</xdr:colOff>
      <xdr:row>49</xdr:row>
      <xdr:rowOff>84083</xdr:rowOff>
    </xdr:from>
    <xdr:to>
      <xdr:col>17</xdr:col>
      <xdr:colOff>325820</xdr:colOff>
      <xdr:row>49</xdr:row>
      <xdr:rowOff>84083</xdr:rowOff>
    </xdr:to>
    <xdr:cxnSp macro="">
      <xdr:nvCxnSpPr>
        <xdr:cNvPr id="36" name="Connecteur droit 35">
          <a:extLst>
            <a:ext uri="{FF2B5EF4-FFF2-40B4-BE49-F238E27FC236}">
              <a16:creationId xmlns:a16="http://schemas.microsoft.com/office/drawing/2014/main" id="{2E94716A-D2E7-475C-8415-C2F41F45C0F7}"/>
            </a:ext>
          </a:extLst>
        </xdr:cNvPr>
        <xdr:cNvCxnSpPr/>
      </xdr:nvCxnSpPr>
      <xdr:spPr>
        <a:xfrm flipH="1">
          <a:off x="6437586" y="7132583"/>
          <a:ext cx="3276074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344871</xdr:colOff>
      <xdr:row>49</xdr:row>
      <xdr:rowOff>78964</xdr:rowOff>
    </xdr:from>
    <xdr:to>
      <xdr:col>11</xdr:col>
      <xdr:colOff>344871</xdr:colOff>
      <xdr:row>50</xdr:row>
      <xdr:rowOff>140211</xdr:rowOff>
    </xdr:to>
    <xdr:cxnSp macro="">
      <xdr:nvCxnSpPr>
        <xdr:cNvPr id="37" name="Connecteur droit avec flèche 36">
          <a:extLst>
            <a:ext uri="{FF2B5EF4-FFF2-40B4-BE49-F238E27FC236}">
              <a16:creationId xmlns:a16="http://schemas.microsoft.com/office/drawing/2014/main" id="{851A7680-4AE3-430A-A148-3F12CA8B4414}"/>
            </a:ext>
          </a:extLst>
        </xdr:cNvPr>
        <xdr:cNvCxnSpPr/>
      </xdr:nvCxnSpPr>
      <xdr:spPr>
        <a:xfrm flipH="1">
          <a:off x="6440871" y="8910544"/>
          <a:ext cx="0" cy="312707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318595</xdr:colOff>
      <xdr:row>48</xdr:row>
      <xdr:rowOff>52551</xdr:rowOff>
    </xdr:from>
    <xdr:to>
      <xdr:col>17</xdr:col>
      <xdr:colOff>318595</xdr:colOff>
      <xdr:row>50</xdr:row>
      <xdr:rowOff>140211</xdr:rowOff>
    </xdr:to>
    <xdr:cxnSp macro="">
      <xdr:nvCxnSpPr>
        <xdr:cNvPr id="38" name="Connecteur droit avec flèche 37">
          <a:extLst>
            <a:ext uri="{FF2B5EF4-FFF2-40B4-BE49-F238E27FC236}">
              <a16:creationId xmlns:a16="http://schemas.microsoft.com/office/drawing/2014/main" id="{7F0908E4-A15F-4FEF-BA1C-C4A4B5150E9A}"/>
            </a:ext>
          </a:extLst>
        </xdr:cNvPr>
        <xdr:cNvCxnSpPr/>
      </xdr:nvCxnSpPr>
      <xdr:spPr>
        <a:xfrm flipH="1">
          <a:off x="9706435" y="8701251"/>
          <a:ext cx="0" cy="5220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318595</xdr:colOff>
      <xdr:row>12</xdr:row>
      <xdr:rowOff>52552</xdr:rowOff>
    </xdr:from>
    <xdr:to>
      <xdr:col>17</xdr:col>
      <xdr:colOff>318595</xdr:colOff>
      <xdr:row>14</xdr:row>
      <xdr:rowOff>140075</xdr:rowOff>
    </xdr:to>
    <xdr:cxnSp macro="">
      <xdr:nvCxnSpPr>
        <xdr:cNvPr id="39" name="Connecteur droit avec flèche 38">
          <a:extLst>
            <a:ext uri="{FF2B5EF4-FFF2-40B4-BE49-F238E27FC236}">
              <a16:creationId xmlns:a16="http://schemas.microsoft.com/office/drawing/2014/main" id="{0A42CFD3-3F4C-4BA7-84BE-EB7B9DB5F95A}"/>
            </a:ext>
          </a:extLst>
        </xdr:cNvPr>
        <xdr:cNvCxnSpPr/>
      </xdr:nvCxnSpPr>
      <xdr:spPr>
        <a:xfrm flipH="1">
          <a:off x="9706435" y="4350232"/>
          <a:ext cx="0" cy="521863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341586</xdr:colOff>
      <xdr:row>13</xdr:row>
      <xdr:rowOff>84083</xdr:rowOff>
    </xdr:from>
    <xdr:to>
      <xdr:col>17</xdr:col>
      <xdr:colOff>325820</xdr:colOff>
      <xdr:row>13</xdr:row>
      <xdr:rowOff>84083</xdr:rowOff>
    </xdr:to>
    <xdr:cxnSp macro="">
      <xdr:nvCxnSpPr>
        <xdr:cNvPr id="40" name="Connecteur droit 39">
          <a:extLst>
            <a:ext uri="{FF2B5EF4-FFF2-40B4-BE49-F238E27FC236}">
              <a16:creationId xmlns:a16="http://schemas.microsoft.com/office/drawing/2014/main" id="{9FFABCC3-D1F5-4DC9-AC57-87A37AD3AF9D}"/>
            </a:ext>
          </a:extLst>
        </xdr:cNvPr>
        <xdr:cNvCxnSpPr/>
      </xdr:nvCxnSpPr>
      <xdr:spPr>
        <a:xfrm flipH="1">
          <a:off x="6437586" y="4564643"/>
          <a:ext cx="3276074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344871</xdr:colOff>
      <xdr:row>13</xdr:row>
      <xdr:rowOff>78828</xdr:rowOff>
    </xdr:from>
    <xdr:to>
      <xdr:col>11</xdr:col>
      <xdr:colOff>344871</xdr:colOff>
      <xdr:row>14</xdr:row>
      <xdr:rowOff>140075</xdr:rowOff>
    </xdr:to>
    <xdr:cxnSp macro="">
      <xdr:nvCxnSpPr>
        <xdr:cNvPr id="41" name="Connecteur droit avec flèche 40">
          <a:extLst>
            <a:ext uri="{FF2B5EF4-FFF2-40B4-BE49-F238E27FC236}">
              <a16:creationId xmlns:a16="http://schemas.microsoft.com/office/drawing/2014/main" id="{C2440BE0-8C62-4E4D-8224-8C29DDBA3E57}"/>
            </a:ext>
          </a:extLst>
        </xdr:cNvPr>
        <xdr:cNvCxnSpPr/>
      </xdr:nvCxnSpPr>
      <xdr:spPr>
        <a:xfrm flipH="1">
          <a:off x="6440871" y="4559388"/>
          <a:ext cx="0" cy="312707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10</xdr:row>
      <xdr:rowOff>144780</xdr:rowOff>
    </xdr:from>
    <xdr:to>
      <xdr:col>4</xdr:col>
      <xdr:colOff>22860</xdr:colOff>
      <xdr:row>14</xdr:row>
      <xdr:rowOff>144780</xdr:rowOff>
    </xdr:to>
    <xdr:sp macro="" textlink="">
      <xdr:nvSpPr>
        <xdr:cNvPr id="2" name="Flèche : bas 1">
          <a:extLst>
            <a:ext uri="{FF2B5EF4-FFF2-40B4-BE49-F238E27FC236}">
              <a16:creationId xmlns:a16="http://schemas.microsoft.com/office/drawing/2014/main" id="{010DFE25-8B96-4AF5-AB77-6ABF7EE71A4E}"/>
            </a:ext>
          </a:extLst>
        </xdr:cNvPr>
        <xdr:cNvSpPr/>
      </xdr:nvSpPr>
      <xdr:spPr>
        <a:xfrm>
          <a:off x="2651760" y="1973580"/>
          <a:ext cx="510540" cy="73152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395840</xdr:colOff>
      <xdr:row>44</xdr:row>
      <xdr:rowOff>99334</xdr:rowOff>
    </xdr:from>
    <xdr:ext cx="526179" cy="727434"/>
    <xdr:pic>
      <xdr:nvPicPr>
        <xdr:cNvPr id="3" name="Picture 16" descr="FDA700 all in one printer pda">
          <a:extLst>
            <a:ext uri="{FF2B5EF4-FFF2-40B4-BE49-F238E27FC236}">
              <a16:creationId xmlns:a16="http://schemas.microsoft.com/office/drawing/2014/main" id="{4CCA4910-6D4E-468E-8C40-037800D14A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8" r="14338"/>
        <a:stretch/>
      </xdr:blipFill>
      <xdr:spPr bwMode="auto">
        <a:xfrm flipH="1">
          <a:off x="1180700" y="8146054"/>
          <a:ext cx="526179" cy="727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464820</xdr:colOff>
      <xdr:row>44</xdr:row>
      <xdr:rowOff>68580</xdr:rowOff>
    </xdr:from>
    <xdr:to>
      <xdr:col>4</xdr:col>
      <xdr:colOff>792480</xdr:colOff>
      <xdr:row>46</xdr:row>
      <xdr:rowOff>60960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A0C5171-496B-4323-B7AD-4AC0CDE5C6BA}"/>
            </a:ext>
          </a:extLst>
        </xdr:cNvPr>
        <xdr:cNvSpPr/>
      </xdr:nvSpPr>
      <xdr:spPr>
        <a:xfrm>
          <a:off x="2819400" y="8115300"/>
          <a:ext cx="1104900" cy="3581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oneCellAnchor>
    <xdr:from>
      <xdr:col>11</xdr:col>
      <xdr:colOff>167639</xdr:colOff>
      <xdr:row>43</xdr:row>
      <xdr:rowOff>160020</xdr:rowOff>
    </xdr:from>
    <xdr:ext cx="563880" cy="869041"/>
    <xdr:pic>
      <xdr:nvPicPr>
        <xdr:cNvPr id="5" name="Image 4">
          <a:extLst>
            <a:ext uri="{FF2B5EF4-FFF2-40B4-BE49-F238E27FC236}">
              <a16:creationId xmlns:a16="http://schemas.microsoft.com/office/drawing/2014/main" id="{02D0964B-B349-49F4-9BC8-67182FBA0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AFAFA"/>
            </a:clrFrom>
            <a:clrTo>
              <a:srgbClr val="FAFAFA">
                <a:alpha val="0"/>
              </a:srgbClr>
            </a:clrTo>
          </a:clrChange>
        </a:blip>
        <a:srcRect l="43986" t="27988"/>
        <a:stretch/>
      </xdr:blipFill>
      <xdr:spPr>
        <a:xfrm flipH="1">
          <a:off x="8801099" y="8023860"/>
          <a:ext cx="563880" cy="869041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49</xdr:row>
      <xdr:rowOff>137161</xdr:rowOff>
    </xdr:from>
    <xdr:ext cx="576001" cy="864000"/>
    <xdr:pic>
      <xdr:nvPicPr>
        <xdr:cNvPr id="6" name="Picture 14" descr="Eat Machine - Frigo connectés | Eat Machine">
          <a:extLst>
            <a:ext uri="{FF2B5EF4-FFF2-40B4-BE49-F238E27FC236}">
              <a16:creationId xmlns:a16="http://schemas.microsoft.com/office/drawing/2014/main" id="{DB60008F-7357-48E4-9700-BB3D2BDCD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2060" y="9098281"/>
          <a:ext cx="576001" cy="86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228600</xdr:colOff>
      <xdr:row>75</xdr:row>
      <xdr:rowOff>15708</xdr:rowOff>
    </xdr:from>
    <xdr:ext cx="543743" cy="792011"/>
    <xdr:pic>
      <xdr:nvPicPr>
        <xdr:cNvPr id="7" name="Picture 18">
          <a:extLst>
            <a:ext uri="{FF2B5EF4-FFF2-40B4-BE49-F238E27FC236}">
              <a16:creationId xmlns:a16="http://schemas.microsoft.com/office/drawing/2014/main" id="{16A935EB-F25E-428E-91B4-8CCA779EE5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690" t="7759" r="21906" b="11541"/>
        <a:stretch/>
      </xdr:blipFill>
      <xdr:spPr bwMode="auto">
        <a:xfrm>
          <a:off x="8862060" y="13731708"/>
          <a:ext cx="543743" cy="792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53340</xdr:colOff>
      <xdr:row>106</xdr:row>
      <xdr:rowOff>106680</xdr:rowOff>
    </xdr:from>
    <xdr:to>
      <xdr:col>2</xdr:col>
      <xdr:colOff>541020</xdr:colOff>
      <xdr:row>111</xdr:row>
      <xdr:rowOff>15240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DF8F5F1-E08D-4482-B711-06AD63115F6B}"/>
            </a:ext>
          </a:extLst>
        </xdr:cNvPr>
        <xdr:cNvSpPr/>
      </xdr:nvSpPr>
      <xdr:spPr>
        <a:xfrm>
          <a:off x="838200" y="19491960"/>
          <a:ext cx="127254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1</xdr:col>
      <xdr:colOff>53340</xdr:colOff>
      <xdr:row>110</xdr:row>
      <xdr:rowOff>167640</xdr:rowOff>
    </xdr:from>
    <xdr:to>
      <xdr:col>2</xdr:col>
      <xdr:colOff>541500</xdr:colOff>
      <xdr:row>112</xdr:row>
      <xdr:rowOff>68580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BE91FF9-FA35-4351-8166-37FE9E1955AC}"/>
            </a:ext>
          </a:extLst>
        </xdr:cNvPr>
        <xdr:cNvSpPr/>
      </xdr:nvSpPr>
      <xdr:spPr>
        <a:xfrm>
          <a:off x="838200" y="20284440"/>
          <a:ext cx="127302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✔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247170</xdr:colOff>
      <xdr:row>110</xdr:row>
      <xdr:rowOff>167640</xdr:rowOff>
    </xdr:from>
    <xdr:to>
      <xdr:col>4</xdr:col>
      <xdr:colOff>796290</xdr:colOff>
      <xdr:row>112</xdr:row>
      <xdr:rowOff>68580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E3789AF-DAAD-4B8B-A7A0-B4730F40649B}"/>
            </a:ext>
          </a:extLst>
        </xdr:cNvPr>
        <xdr:cNvSpPr/>
      </xdr:nvSpPr>
      <xdr:spPr>
        <a:xfrm>
          <a:off x="2601750" y="20284440"/>
          <a:ext cx="131874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✔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228600</xdr:colOff>
      <xdr:row>110</xdr:row>
      <xdr:rowOff>167640</xdr:rowOff>
    </xdr:from>
    <xdr:to>
      <xdr:col>8</xdr:col>
      <xdr:colOff>290040</xdr:colOff>
      <xdr:row>112</xdr:row>
      <xdr:rowOff>68580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F5F18A0-D42F-4053-80A2-57F2C759E140}"/>
            </a:ext>
          </a:extLst>
        </xdr:cNvPr>
        <xdr:cNvSpPr/>
      </xdr:nvSpPr>
      <xdr:spPr>
        <a:xfrm>
          <a:off x="4152900" y="20284440"/>
          <a:ext cx="241602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✔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235740</xdr:colOff>
      <xdr:row>110</xdr:row>
      <xdr:rowOff>167640</xdr:rowOff>
    </xdr:from>
    <xdr:to>
      <xdr:col>12</xdr:col>
      <xdr:colOff>312420</xdr:colOff>
      <xdr:row>112</xdr:row>
      <xdr:rowOff>68580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816E22E-0B51-4F38-9841-80FCD8227CE4}"/>
            </a:ext>
          </a:extLst>
        </xdr:cNvPr>
        <xdr:cNvSpPr/>
      </xdr:nvSpPr>
      <xdr:spPr>
        <a:xfrm>
          <a:off x="8084340" y="20284440"/>
          <a:ext cx="164640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✔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179070</xdr:colOff>
      <xdr:row>110</xdr:row>
      <xdr:rowOff>167640</xdr:rowOff>
    </xdr:from>
    <xdr:to>
      <xdr:col>16</xdr:col>
      <xdr:colOff>240510</xdr:colOff>
      <xdr:row>112</xdr:row>
      <xdr:rowOff>68580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C74FCC1-6645-4A5C-AFBF-5F5E142E9814}"/>
            </a:ext>
          </a:extLst>
        </xdr:cNvPr>
        <xdr:cNvSpPr/>
      </xdr:nvSpPr>
      <xdr:spPr>
        <a:xfrm>
          <a:off x="10382250" y="20284440"/>
          <a:ext cx="241602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✔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16</xdr:col>
      <xdr:colOff>525780</xdr:colOff>
      <xdr:row>110</xdr:row>
      <xdr:rowOff>167640</xdr:rowOff>
    </xdr:from>
    <xdr:to>
      <xdr:col>18</xdr:col>
      <xdr:colOff>366240</xdr:colOff>
      <xdr:row>112</xdr:row>
      <xdr:rowOff>68580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5CD616C-3C88-457E-86CD-C4BEB200172C}"/>
            </a:ext>
          </a:extLst>
        </xdr:cNvPr>
        <xdr:cNvSpPr/>
      </xdr:nvSpPr>
      <xdr:spPr>
        <a:xfrm>
          <a:off x="13083540" y="20284440"/>
          <a:ext cx="141018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✔</a:t>
          </a:r>
        </a:p>
      </xdr:txBody>
    </xdr:sp>
    <xdr:clientData/>
  </xdr:twoCellAnchor>
  <xdr:twoCellAnchor>
    <xdr:from>
      <xdr:col>20</xdr:col>
      <xdr:colOff>121920</xdr:colOff>
      <xdr:row>110</xdr:row>
      <xdr:rowOff>167640</xdr:rowOff>
    </xdr:from>
    <xdr:to>
      <xdr:col>22</xdr:col>
      <xdr:colOff>373860</xdr:colOff>
      <xdr:row>112</xdr:row>
      <xdr:rowOff>68580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A8A6E0E-7F87-47A6-A14E-597187D25FC1}"/>
            </a:ext>
          </a:extLst>
        </xdr:cNvPr>
        <xdr:cNvSpPr/>
      </xdr:nvSpPr>
      <xdr:spPr>
        <a:xfrm>
          <a:off x="15819120" y="20284440"/>
          <a:ext cx="182166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✔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102870</xdr:colOff>
      <xdr:row>110</xdr:row>
      <xdr:rowOff>167640</xdr:rowOff>
    </xdr:from>
    <xdr:to>
      <xdr:col>25</xdr:col>
      <xdr:colOff>392910</xdr:colOff>
      <xdr:row>112</xdr:row>
      <xdr:rowOff>68580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98D4FC6-4B7D-4E8C-A436-CAC7A64D2159}"/>
            </a:ext>
          </a:extLst>
        </xdr:cNvPr>
        <xdr:cNvSpPr/>
      </xdr:nvSpPr>
      <xdr:spPr>
        <a:xfrm>
          <a:off x="18154650" y="20284440"/>
          <a:ext cx="185976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✔</a:t>
          </a:r>
        </a:p>
      </xdr:txBody>
    </xdr:sp>
    <xdr:clientData/>
  </xdr:twoCellAnchor>
  <xdr:twoCellAnchor>
    <xdr:from>
      <xdr:col>26</xdr:col>
      <xdr:colOff>190500</xdr:colOff>
      <xdr:row>110</xdr:row>
      <xdr:rowOff>167640</xdr:rowOff>
    </xdr:from>
    <xdr:to>
      <xdr:col>27</xdr:col>
      <xdr:colOff>373860</xdr:colOff>
      <xdr:row>112</xdr:row>
      <xdr:rowOff>68580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136D132-4E67-45F2-9745-7215E2236EAE}"/>
            </a:ext>
          </a:extLst>
        </xdr:cNvPr>
        <xdr:cNvSpPr/>
      </xdr:nvSpPr>
      <xdr:spPr>
        <a:xfrm>
          <a:off x="20596860" y="20284440"/>
          <a:ext cx="968220" cy="26670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✔</a:t>
          </a:r>
        </a:p>
      </xdr:txBody>
    </xdr:sp>
    <xdr:clientData/>
  </xdr:twoCellAnchor>
  <xdr:twoCellAnchor>
    <xdr:from>
      <xdr:col>10</xdr:col>
      <xdr:colOff>365760</xdr:colOff>
      <xdr:row>10</xdr:row>
      <xdr:rowOff>144780</xdr:rowOff>
    </xdr:from>
    <xdr:to>
      <xdr:col>11</xdr:col>
      <xdr:colOff>91440</xdr:colOff>
      <xdr:row>14</xdr:row>
      <xdr:rowOff>144780</xdr:rowOff>
    </xdr:to>
    <xdr:sp macro="" textlink="">
      <xdr:nvSpPr>
        <xdr:cNvPr id="18" name="Flèche : bas 17">
          <a:extLst>
            <a:ext uri="{FF2B5EF4-FFF2-40B4-BE49-F238E27FC236}">
              <a16:creationId xmlns:a16="http://schemas.microsoft.com/office/drawing/2014/main" id="{01AF20B2-84A9-4189-84FF-3E5C3A400B28}"/>
            </a:ext>
          </a:extLst>
        </xdr:cNvPr>
        <xdr:cNvSpPr/>
      </xdr:nvSpPr>
      <xdr:spPr>
        <a:xfrm>
          <a:off x="8214360" y="1973580"/>
          <a:ext cx="510540" cy="73152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655320</xdr:colOff>
      <xdr:row>43</xdr:row>
      <xdr:rowOff>76200</xdr:rowOff>
    </xdr:from>
    <xdr:to>
      <xdr:col>34</xdr:col>
      <xdr:colOff>762000</xdr:colOff>
      <xdr:row>46</xdr:row>
      <xdr:rowOff>30480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1C40B19-82A5-47CE-B5B3-67FB2CE33713}"/>
            </a:ext>
          </a:extLst>
        </xdr:cNvPr>
        <xdr:cNvSpPr/>
      </xdr:nvSpPr>
      <xdr:spPr>
        <a:xfrm>
          <a:off x="26555700" y="7940040"/>
          <a:ext cx="89154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twoCellAnchor>
    <xdr:from>
      <xdr:col>34</xdr:col>
      <xdr:colOff>22860</xdr:colOff>
      <xdr:row>44</xdr:row>
      <xdr:rowOff>45720</xdr:rowOff>
    </xdr:from>
    <xdr:to>
      <xdr:col>35</xdr:col>
      <xdr:colOff>129540</xdr:colOff>
      <xdr:row>47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5E6564A-635F-4878-B935-5A07CE32A0A8}"/>
            </a:ext>
          </a:extLst>
        </xdr:cNvPr>
        <xdr:cNvSpPr/>
      </xdr:nvSpPr>
      <xdr:spPr>
        <a:xfrm>
          <a:off x="26708100" y="8092440"/>
          <a:ext cx="89154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twoCellAnchor>
    <xdr:from>
      <xdr:col>4</xdr:col>
      <xdr:colOff>121920</xdr:colOff>
      <xdr:row>59</xdr:row>
      <xdr:rowOff>91440</xdr:rowOff>
    </xdr:from>
    <xdr:to>
      <xdr:col>4</xdr:col>
      <xdr:colOff>335280</xdr:colOff>
      <xdr:row>61</xdr:row>
      <xdr:rowOff>121680</xdr:rowOff>
    </xdr:to>
    <xdr:sp macro="" textlink="">
      <xdr:nvSpPr>
        <xdr:cNvPr id="21" name="Flèche : bas 20">
          <a:extLst>
            <a:ext uri="{FF2B5EF4-FFF2-40B4-BE49-F238E27FC236}">
              <a16:creationId xmlns:a16="http://schemas.microsoft.com/office/drawing/2014/main" id="{C12F948D-6C55-4D4B-8A9D-359FDB967B49}"/>
            </a:ext>
          </a:extLst>
        </xdr:cNvPr>
        <xdr:cNvSpPr/>
      </xdr:nvSpPr>
      <xdr:spPr>
        <a:xfrm>
          <a:off x="3261360" y="10881360"/>
          <a:ext cx="213360" cy="39600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83820</xdr:colOff>
      <xdr:row>59</xdr:row>
      <xdr:rowOff>91440</xdr:rowOff>
    </xdr:from>
    <xdr:to>
      <xdr:col>15</xdr:col>
      <xdr:colOff>53340</xdr:colOff>
      <xdr:row>61</xdr:row>
      <xdr:rowOff>121680</xdr:rowOff>
    </xdr:to>
    <xdr:sp macro="" textlink="">
      <xdr:nvSpPr>
        <xdr:cNvPr id="22" name="Flèche : bas 21">
          <a:extLst>
            <a:ext uri="{FF2B5EF4-FFF2-40B4-BE49-F238E27FC236}">
              <a16:creationId xmlns:a16="http://schemas.microsoft.com/office/drawing/2014/main" id="{2184C75C-0DE6-43FE-8C96-A1B03DD47F77}"/>
            </a:ext>
          </a:extLst>
        </xdr:cNvPr>
        <xdr:cNvSpPr/>
      </xdr:nvSpPr>
      <xdr:spPr>
        <a:xfrm>
          <a:off x="11071860" y="10881360"/>
          <a:ext cx="754380" cy="39600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205740</xdr:colOff>
      <xdr:row>44</xdr:row>
      <xdr:rowOff>68580</xdr:rowOff>
    </xdr:from>
    <xdr:to>
      <xdr:col>17</xdr:col>
      <xdr:colOff>30480</xdr:colOff>
      <xdr:row>46</xdr:row>
      <xdr:rowOff>60960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D71F12F-ECAB-43A0-B605-91BF9A5AEDC6}"/>
            </a:ext>
          </a:extLst>
        </xdr:cNvPr>
        <xdr:cNvSpPr/>
      </xdr:nvSpPr>
      <xdr:spPr>
        <a:xfrm>
          <a:off x="11978640" y="8115300"/>
          <a:ext cx="1394460" cy="3581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oneCellAnchor>
    <xdr:from>
      <xdr:col>21</xdr:col>
      <xdr:colOff>0</xdr:colOff>
      <xdr:row>67</xdr:row>
      <xdr:rowOff>129541</xdr:rowOff>
    </xdr:from>
    <xdr:ext cx="576001" cy="864000"/>
    <xdr:pic>
      <xdr:nvPicPr>
        <xdr:cNvPr id="24" name="Picture 14" descr="Eat Machine - Frigo connectés | Eat Machine">
          <a:extLst>
            <a:ext uri="{FF2B5EF4-FFF2-40B4-BE49-F238E27FC236}">
              <a16:creationId xmlns:a16="http://schemas.microsoft.com/office/drawing/2014/main" id="{0BCCE445-0895-4148-8E01-78C0DBB49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2060" y="12382501"/>
          <a:ext cx="576001" cy="86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373380</xdr:colOff>
      <xdr:row>75</xdr:row>
      <xdr:rowOff>15708</xdr:rowOff>
    </xdr:from>
    <xdr:ext cx="543743" cy="792011"/>
    <xdr:pic>
      <xdr:nvPicPr>
        <xdr:cNvPr id="25" name="Picture 18">
          <a:extLst>
            <a:ext uri="{FF2B5EF4-FFF2-40B4-BE49-F238E27FC236}">
              <a16:creationId xmlns:a16="http://schemas.microsoft.com/office/drawing/2014/main" id="{F7E5B659-2805-455B-8EFF-30751A5F86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690" t="7759" r="21906" b="11541"/>
        <a:stretch/>
      </xdr:blipFill>
      <xdr:spPr bwMode="auto">
        <a:xfrm>
          <a:off x="1158240" y="13731708"/>
          <a:ext cx="543743" cy="792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426720</xdr:colOff>
      <xdr:row>50</xdr:row>
      <xdr:rowOff>175260</xdr:rowOff>
    </xdr:from>
    <xdr:to>
      <xdr:col>26</xdr:col>
      <xdr:colOff>7620</xdr:colOff>
      <xdr:row>52</xdr:row>
      <xdr:rowOff>167640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89C82D6-E66F-4D62-B19D-AA107651501B}"/>
            </a:ext>
          </a:extLst>
        </xdr:cNvPr>
        <xdr:cNvSpPr/>
      </xdr:nvSpPr>
      <xdr:spPr>
        <a:xfrm>
          <a:off x="18478500" y="9319260"/>
          <a:ext cx="1935480" cy="3581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twoCellAnchor>
    <xdr:from>
      <xdr:col>23</xdr:col>
      <xdr:colOff>426720</xdr:colOff>
      <xdr:row>69</xdr:row>
      <xdr:rowOff>0</xdr:rowOff>
    </xdr:from>
    <xdr:to>
      <xdr:col>26</xdr:col>
      <xdr:colOff>7620</xdr:colOff>
      <xdr:row>70</xdr:row>
      <xdr:rowOff>175260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8F8C9EA-AEB9-4C68-917D-5398947F062E}"/>
            </a:ext>
          </a:extLst>
        </xdr:cNvPr>
        <xdr:cNvSpPr/>
      </xdr:nvSpPr>
      <xdr:spPr>
        <a:xfrm>
          <a:off x="18478500" y="12618720"/>
          <a:ext cx="1935480" cy="3581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twoCellAnchor>
    <xdr:from>
      <xdr:col>4</xdr:col>
      <xdr:colOff>0</xdr:colOff>
      <xdr:row>75</xdr:row>
      <xdr:rowOff>106680</xdr:rowOff>
    </xdr:from>
    <xdr:to>
      <xdr:col>4</xdr:col>
      <xdr:colOff>815340</xdr:colOff>
      <xdr:row>77</xdr:row>
      <xdr:rowOff>99060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2F023DF-7630-430E-BDAD-AB557F671A82}"/>
            </a:ext>
          </a:extLst>
        </xdr:cNvPr>
        <xdr:cNvSpPr/>
      </xdr:nvSpPr>
      <xdr:spPr>
        <a:xfrm>
          <a:off x="3139440" y="13822680"/>
          <a:ext cx="784860" cy="3581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twoCellAnchor>
    <xdr:from>
      <xdr:col>15</xdr:col>
      <xdr:colOff>167640</xdr:colOff>
      <xdr:row>75</xdr:row>
      <xdr:rowOff>106680</xdr:rowOff>
    </xdr:from>
    <xdr:to>
      <xdr:col>16</xdr:col>
      <xdr:colOff>739140</xdr:colOff>
      <xdr:row>77</xdr:row>
      <xdr:rowOff>99060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2D9BAE4-3FC1-4C72-84FB-EF94550B5667}"/>
            </a:ext>
          </a:extLst>
        </xdr:cNvPr>
        <xdr:cNvSpPr/>
      </xdr:nvSpPr>
      <xdr:spPr>
        <a:xfrm>
          <a:off x="11940540" y="13822680"/>
          <a:ext cx="1356360" cy="3581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-    X    +</a:t>
          </a:r>
        </a:p>
      </xdr:txBody>
    </xdr:sp>
    <xdr:clientData/>
  </xdr:twoCellAnchor>
  <xdr:twoCellAnchor>
    <xdr:from>
      <xdr:col>4</xdr:col>
      <xdr:colOff>121920</xdr:colOff>
      <xdr:row>93</xdr:row>
      <xdr:rowOff>83820</xdr:rowOff>
    </xdr:from>
    <xdr:to>
      <xdr:col>4</xdr:col>
      <xdr:colOff>335280</xdr:colOff>
      <xdr:row>95</xdr:row>
      <xdr:rowOff>106440</xdr:rowOff>
    </xdr:to>
    <xdr:sp macro="" textlink="">
      <xdr:nvSpPr>
        <xdr:cNvPr id="30" name="Flèche : bas 29">
          <a:extLst>
            <a:ext uri="{FF2B5EF4-FFF2-40B4-BE49-F238E27FC236}">
              <a16:creationId xmlns:a16="http://schemas.microsoft.com/office/drawing/2014/main" id="{AF364D2E-531D-449E-9C75-32F5FB533314}"/>
            </a:ext>
          </a:extLst>
        </xdr:cNvPr>
        <xdr:cNvSpPr/>
      </xdr:nvSpPr>
      <xdr:spPr>
        <a:xfrm>
          <a:off x="3261360" y="17091660"/>
          <a:ext cx="213360" cy="38838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83820</xdr:colOff>
      <xdr:row>93</xdr:row>
      <xdr:rowOff>83820</xdr:rowOff>
    </xdr:from>
    <xdr:to>
      <xdr:col>15</xdr:col>
      <xdr:colOff>53340</xdr:colOff>
      <xdr:row>95</xdr:row>
      <xdr:rowOff>106440</xdr:rowOff>
    </xdr:to>
    <xdr:sp macro="" textlink="">
      <xdr:nvSpPr>
        <xdr:cNvPr id="31" name="Flèche : bas 30">
          <a:extLst>
            <a:ext uri="{FF2B5EF4-FFF2-40B4-BE49-F238E27FC236}">
              <a16:creationId xmlns:a16="http://schemas.microsoft.com/office/drawing/2014/main" id="{EF9ABB54-A73B-4951-91AB-C977147139C4}"/>
            </a:ext>
          </a:extLst>
        </xdr:cNvPr>
        <xdr:cNvSpPr/>
      </xdr:nvSpPr>
      <xdr:spPr>
        <a:xfrm>
          <a:off x="11071860" y="17091660"/>
          <a:ext cx="754380" cy="38838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99060</xdr:colOff>
      <xdr:row>93</xdr:row>
      <xdr:rowOff>83820</xdr:rowOff>
    </xdr:from>
    <xdr:to>
      <xdr:col>25</xdr:col>
      <xdr:colOff>53340</xdr:colOff>
      <xdr:row>95</xdr:row>
      <xdr:rowOff>106440</xdr:rowOff>
    </xdr:to>
    <xdr:sp macro="" textlink="">
      <xdr:nvSpPr>
        <xdr:cNvPr id="32" name="Flèche : bas 31">
          <a:extLst>
            <a:ext uri="{FF2B5EF4-FFF2-40B4-BE49-F238E27FC236}">
              <a16:creationId xmlns:a16="http://schemas.microsoft.com/office/drawing/2014/main" id="{6FD8034E-C8F4-4866-AF69-B07959181814}"/>
            </a:ext>
          </a:extLst>
        </xdr:cNvPr>
        <xdr:cNvSpPr/>
      </xdr:nvSpPr>
      <xdr:spPr>
        <a:xfrm>
          <a:off x="18935700" y="17091660"/>
          <a:ext cx="739140" cy="38838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247170</xdr:colOff>
      <xdr:row>106</xdr:row>
      <xdr:rowOff>106680</xdr:rowOff>
    </xdr:from>
    <xdr:to>
      <xdr:col>4</xdr:col>
      <xdr:colOff>795810</xdr:colOff>
      <xdr:row>111</xdr:row>
      <xdr:rowOff>15240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53AF5274-20DF-4164-A875-720B61D26D03}"/>
            </a:ext>
          </a:extLst>
        </xdr:cNvPr>
        <xdr:cNvSpPr/>
      </xdr:nvSpPr>
      <xdr:spPr>
        <a:xfrm>
          <a:off x="2601750" y="19491960"/>
          <a:ext cx="132588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5</xdr:col>
      <xdr:colOff>228600</xdr:colOff>
      <xdr:row>106</xdr:row>
      <xdr:rowOff>106680</xdr:rowOff>
    </xdr:from>
    <xdr:to>
      <xdr:col>8</xdr:col>
      <xdr:colOff>289560</xdr:colOff>
      <xdr:row>111</xdr:row>
      <xdr:rowOff>15240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D646512-EF10-4FD6-AC4B-C5177A4D7CE0}"/>
            </a:ext>
          </a:extLst>
        </xdr:cNvPr>
        <xdr:cNvSpPr/>
      </xdr:nvSpPr>
      <xdr:spPr>
        <a:xfrm>
          <a:off x="4152900" y="19491960"/>
          <a:ext cx="241554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10</xdr:col>
      <xdr:colOff>236220</xdr:colOff>
      <xdr:row>106</xdr:row>
      <xdr:rowOff>106680</xdr:rowOff>
    </xdr:from>
    <xdr:to>
      <xdr:col>12</xdr:col>
      <xdr:colOff>312420</xdr:colOff>
      <xdr:row>111</xdr:row>
      <xdr:rowOff>15240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81E4B099-E920-4F99-B4C7-D78BA7A3C7F7}"/>
            </a:ext>
          </a:extLst>
        </xdr:cNvPr>
        <xdr:cNvSpPr/>
      </xdr:nvSpPr>
      <xdr:spPr>
        <a:xfrm>
          <a:off x="8084820" y="19491960"/>
          <a:ext cx="164592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13</xdr:col>
      <xdr:colOff>179070</xdr:colOff>
      <xdr:row>106</xdr:row>
      <xdr:rowOff>106680</xdr:rowOff>
    </xdr:from>
    <xdr:to>
      <xdr:col>16</xdr:col>
      <xdr:colOff>240030</xdr:colOff>
      <xdr:row>111</xdr:row>
      <xdr:rowOff>15240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19664FD-7DCC-4F70-A018-D8116F05099A}"/>
            </a:ext>
          </a:extLst>
        </xdr:cNvPr>
        <xdr:cNvSpPr/>
      </xdr:nvSpPr>
      <xdr:spPr>
        <a:xfrm>
          <a:off x="10382250" y="19491960"/>
          <a:ext cx="241554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16</xdr:col>
      <xdr:colOff>525780</xdr:colOff>
      <xdr:row>106</xdr:row>
      <xdr:rowOff>106680</xdr:rowOff>
    </xdr:from>
    <xdr:to>
      <xdr:col>18</xdr:col>
      <xdr:colOff>365760</xdr:colOff>
      <xdr:row>111</xdr:row>
      <xdr:rowOff>15240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498DDDA-3E3D-4CAA-87B1-4B41C2B9BE6A}"/>
            </a:ext>
          </a:extLst>
        </xdr:cNvPr>
        <xdr:cNvSpPr/>
      </xdr:nvSpPr>
      <xdr:spPr>
        <a:xfrm>
          <a:off x="13083540" y="19491960"/>
          <a:ext cx="140970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20</xdr:col>
      <xdr:colOff>121920</xdr:colOff>
      <xdr:row>106</xdr:row>
      <xdr:rowOff>106680</xdr:rowOff>
    </xdr:from>
    <xdr:to>
      <xdr:col>22</xdr:col>
      <xdr:colOff>373380</xdr:colOff>
      <xdr:row>111</xdr:row>
      <xdr:rowOff>15240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0850901-ABFE-41B2-99F8-4142958C8FFE}"/>
            </a:ext>
          </a:extLst>
        </xdr:cNvPr>
        <xdr:cNvSpPr/>
      </xdr:nvSpPr>
      <xdr:spPr>
        <a:xfrm>
          <a:off x="15819120" y="19491960"/>
          <a:ext cx="182118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23</xdr:col>
      <xdr:colOff>102870</xdr:colOff>
      <xdr:row>106</xdr:row>
      <xdr:rowOff>106680</xdr:rowOff>
    </xdr:from>
    <xdr:to>
      <xdr:col>25</xdr:col>
      <xdr:colOff>392430</xdr:colOff>
      <xdr:row>111</xdr:row>
      <xdr:rowOff>15240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F9C14118-B54C-4E1B-B90C-CBA9F04FEEB4}"/>
            </a:ext>
          </a:extLst>
        </xdr:cNvPr>
        <xdr:cNvSpPr/>
      </xdr:nvSpPr>
      <xdr:spPr>
        <a:xfrm>
          <a:off x="18154650" y="19491960"/>
          <a:ext cx="185928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26</xdr:col>
      <xdr:colOff>190500</xdr:colOff>
      <xdr:row>106</xdr:row>
      <xdr:rowOff>106680</xdr:rowOff>
    </xdr:from>
    <xdr:to>
      <xdr:col>27</xdr:col>
      <xdr:colOff>373380</xdr:colOff>
      <xdr:row>111</xdr:row>
      <xdr:rowOff>15240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D330A05-0722-4F91-9A4A-7411562E34CA}"/>
            </a:ext>
          </a:extLst>
        </xdr:cNvPr>
        <xdr:cNvSpPr/>
      </xdr:nvSpPr>
      <xdr:spPr>
        <a:xfrm>
          <a:off x="20596860" y="19491960"/>
          <a:ext cx="967740" cy="8229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US" sz="1100" b="1" i="0">
              <a:solidFill>
                <a:schemeClr val="bg1">
                  <a:lumMod val="95000"/>
                </a:schemeClr>
              </a:solidFill>
            </a:rPr>
            <a:t>PHOTO</a:t>
          </a:r>
        </a:p>
        <a:p>
          <a:pPr algn="ctr"/>
          <a:r>
            <a:rPr lang="en-US" sz="1100" b="0" i="1">
              <a:solidFill>
                <a:schemeClr val="bg1">
                  <a:lumMod val="95000"/>
                </a:schemeClr>
              </a:solidFill>
            </a:rPr>
            <a:t>(à confirmer si suffisamment de place)</a:t>
          </a:r>
        </a:p>
      </xdr:txBody>
    </xdr:sp>
    <xdr:clientData/>
  </xdr:twoCellAnchor>
  <xdr:twoCellAnchor>
    <xdr:from>
      <xdr:col>4</xdr:col>
      <xdr:colOff>0</xdr:colOff>
      <xdr:row>135</xdr:row>
      <xdr:rowOff>99060</xdr:rowOff>
    </xdr:from>
    <xdr:to>
      <xdr:col>9</xdr:col>
      <xdr:colOff>251460</xdr:colOff>
      <xdr:row>138</xdr:row>
      <xdr:rowOff>60960</xdr:rowOff>
    </xdr:to>
    <xdr:sp macro="" textlink="">
      <xdr:nvSpPr>
        <xdr:cNvPr id="41" name="Flèche : virage 40">
          <a:extLst>
            <a:ext uri="{FF2B5EF4-FFF2-40B4-BE49-F238E27FC236}">
              <a16:creationId xmlns:a16="http://schemas.microsoft.com/office/drawing/2014/main" id="{8ECAA727-B5CB-416E-AA57-A016145AF76E}"/>
            </a:ext>
          </a:extLst>
        </xdr:cNvPr>
        <xdr:cNvSpPr/>
      </xdr:nvSpPr>
      <xdr:spPr>
        <a:xfrm flipV="1">
          <a:off x="3139440" y="24787860"/>
          <a:ext cx="4175760" cy="510540"/>
        </a:xfrm>
        <a:prstGeom prst="bentArrow">
          <a:avLst>
            <a:gd name="adj1" fmla="val 20056"/>
            <a:gd name="adj2" fmla="val 23805"/>
            <a:gd name="adj3" fmla="val 25000"/>
            <a:gd name="adj4" fmla="val 4375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147</xdr:row>
      <xdr:rowOff>114300</xdr:rowOff>
    </xdr:from>
    <xdr:to>
      <xdr:col>9</xdr:col>
      <xdr:colOff>251460</xdr:colOff>
      <xdr:row>150</xdr:row>
      <xdr:rowOff>76200</xdr:rowOff>
    </xdr:to>
    <xdr:sp macro="" textlink="">
      <xdr:nvSpPr>
        <xdr:cNvPr id="42" name="Flèche : virage 41">
          <a:extLst>
            <a:ext uri="{FF2B5EF4-FFF2-40B4-BE49-F238E27FC236}">
              <a16:creationId xmlns:a16="http://schemas.microsoft.com/office/drawing/2014/main" id="{5653668F-B738-486D-A2F8-BE61CCC17408}"/>
            </a:ext>
          </a:extLst>
        </xdr:cNvPr>
        <xdr:cNvSpPr/>
      </xdr:nvSpPr>
      <xdr:spPr>
        <a:xfrm flipV="1">
          <a:off x="3139440" y="26997660"/>
          <a:ext cx="4175760" cy="510540"/>
        </a:xfrm>
        <a:prstGeom prst="bentArrow">
          <a:avLst>
            <a:gd name="adj1" fmla="val 20056"/>
            <a:gd name="adj2" fmla="val 23805"/>
            <a:gd name="adj3" fmla="val 25000"/>
            <a:gd name="adj4" fmla="val 4375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160</xdr:row>
      <xdr:rowOff>99060</xdr:rowOff>
    </xdr:from>
    <xdr:to>
      <xdr:col>9</xdr:col>
      <xdr:colOff>251460</xdr:colOff>
      <xdr:row>163</xdr:row>
      <xdr:rowOff>60960</xdr:rowOff>
    </xdr:to>
    <xdr:sp macro="" textlink="">
      <xdr:nvSpPr>
        <xdr:cNvPr id="43" name="Flèche : virage 42">
          <a:extLst>
            <a:ext uri="{FF2B5EF4-FFF2-40B4-BE49-F238E27FC236}">
              <a16:creationId xmlns:a16="http://schemas.microsoft.com/office/drawing/2014/main" id="{E3F69992-2D59-40F9-9176-F30809B302B3}"/>
            </a:ext>
          </a:extLst>
        </xdr:cNvPr>
        <xdr:cNvSpPr/>
      </xdr:nvSpPr>
      <xdr:spPr>
        <a:xfrm flipV="1">
          <a:off x="3139440" y="29359860"/>
          <a:ext cx="4175760" cy="510540"/>
        </a:xfrm>
        <a:prstGeom prst="bentArrow">
          <a:avLst>
            <a:gd name="adj1" fmla="val 20056"/>
            <a:gd name="adj2" fmla="val 23805"/>
            <a:gd name="adj3" fmla="val 25000"/>
            <a:gd name="adj4" fmla="val 4375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166</xdr:row>
      <xdr:rowOff>91440</xdr:rowOff>
    </xdr:from>
    <xdr:to>
      <xdr:col>9</xdr:col>
      <xdr:colOff>251460</xdr:colOff>
      <xdr:row>169</xdr:row>
      <xdr:rowOff>53340</xdr:rowOff>
    </xdr:to>
    <xdr:sp macro="" textlink="">
      <xdr:nvSpPr>
        <xdr:cNvPr id="44" name="Flèche : virage 43">
          <a:extLst>
            <a:ext uri="{FF2B5EF4-FFF2-40B4-BE49-F238E27FC236}">
              <a16:creationId xmlns:a16="http://schemas.microsoft.com/office/drawing/2014/main" id="{136431A1-364F-40EE-8C3C-087210674F3D}"/>
            </a:ext>
          </a:extLst>
        </xdr:cNvPr>
        <xdr:cNvSpPr/>
      </xdr:nvSpPr>
      <xdr:spPr>
        <a:xfrm flipV="1">
          <a:off x="3139440" y="30449520"/>
          <a:ext cx="4175760" cy="510540"/>
        </a:xfrm>
        <a:prstGeom prst="bentArrow">
          <a:avLst>
            <a:gd name="adj1" fmla="val 20056"/>
            <a:gd name="adj2" fmla="val 23805"/>
            <a:gd name="adj3" fmla="val 25000"/>
            <a:gd name="adj4" fmla="val 4375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91440</xdr:colOff>
      <xdr:row>19</xdr:row>
      <xdr:rowOff>160020</xdr:rowOff>
    </xdr:from>
    <xdr:to>
      <xdr:col>22</xdr:col>
      <xdr:colOff>7620</xdr:colOff>
      <xdr:row>23</xdr:row>
      <xdr:rowOff>160020</xdr:rowOff>
    </xdr:to>
    <xdr:sp macro="" textlink="">
      <xdr:nvSpPr>
        <xdr:cNvPr id="45" name="Flèche : bas 44">
          <a:extLst>
            <a:ext uri="{FF2B5EF4-FFF2-40B4-BE49-F238E27FC236}">
              <a16:creationId xmlns:a16="http://schemas.microsoft.com/office/drawing/2014/main" id="{77A34456-1B74-4C4A-9C41-D3BD53A2D7FE}"/>
            </a:ext>
          </a:extLst>
        </xdr:cNvPr>
        <xdr:cNvSpPr/>
      </xdr:nvSpPr>
      <xdr:spPr>
        <a:xfrm>
          <a:off x="16573500" y="3634740"/>
          <a:ext cx="701040" cy="731520"/>
        </a:xfrm>
        <a:prstGeom prst="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TRAND Thomas" refreshedDate="45960.896116087963" createdVersion="8" refreshedVersion="8" minRefreshableVersion="3" recordCount="1343" xr:uid="{88E50B92-4584-487F-B1B2-DAE41AD9FAE3}">
  <cacheSource type="worksheet">
    <worksheetSource ref="B7:AM1350" sheet="BASE HOTELS FRANCE PME ONLY"/>
  </cacheSource>
  <cacheFields count="38">
    <cacheField name="CODE H" numFmtId="0">
      <sharedItems/>
    </cacheField>
    <cacheField name="NOM DE L'HOTEL" numFmtId="0">
      <sharedItems/>
    </cacheField>
    <cacheField name="MARQUE" numFmtId="0">
      <sharedItems count="6">
        <s v="IBIS"/>
        <s v="MERCURE"/>
        <s v="IBIS STYLES"/>
        <s v="NOVOTEL"/>
        <s v="IBIS BUDGET"/>
        <s v="IBIS HOTELS" u="1"/>
      </sharedItems>
    </cacheField>
    <cacheField name="BUILT" numFmtId="0">
      <sharedItems/>
    </cacheField>
    <cacheField name="NB. DE CHAMBRES" numFmtId="0">
      <sharedItems containsSemiMixedTypes="0" containsString="0" containsNumber="1" containsInteger="1" minValue="28" maxValue="772"/>
    </cacheField>
    <cacheField name="CAT." numFmtId="0">
      <sharedItems count="10">
        <s v="Entre 50 et 99 ch."/>
        <s v="Entre 100 et 149 ch."/>
        <s v="Plus de 300 ch."/>
        <s v="Entre 150 et 199 ch."/>
        <s v="Entre 0 et 49 ch."/>
        <s v="Entre 250 et 299 ch."/>
        <s v="Entre 200 et 249 ch."/>
        <s v="Entre 0 et 100 ch." u="1"/>
        <s v="Entre 100 et 200 ch." u="1"/>
        <s v="Entre 200 et 300 ch." u="1"/>
      </sharedItems>
    </cacheField>
    <cacheField name="ADRESSE POSTALE (1)" numFmtId="0">
      <sharedItems/>
    </cacheField>
    <cacheField name="ADRESSE POSTALE (2)" numFmtId="0">
      <sharedItems/>
    </cacheField>
    <cacheField name="ADRESSE POSTALE (3)" numFmtId="0">
      <sharedItems/>
    </cacheField>
    <cacheField name="CODE POSTAL" numFmtId="49">
      <sharedItems containsMixedTypes="1" containsNumber="1" containsInteger="1" minValue="13140" maxValue="95870" count="671">
        <s v="30100"/>
        <s v="74600"/>
        <s v="76600"/>
        <s v="74240"/>
        <s v="72100"/>
        <s v="69260"/>
        <s v="89380"/>
        <s v="38670"/>
        <s v="60000"/>
        <s v="75014"/>
        <s v="57140"/>
        <s v="90400"/>
        <s v="33300"/>
        <s v="19270"/>
        <s v="06000"/>
        <s v="51688"/>
        <s v="08000"/>
        <s v="71100"/>
        <s v="67540"/>
        <s v="31000"/>
        <s v="75017"/>
        <s v="75018"/>
        <s v="92120"/>
        <s v="92170"/>
        <s v="91952"/>
        <s v="78150"/>
        <s v="93177"/>
        <s v="94000"/>
        <s v="95560"/>
        <s v="77760"/>
        <s v="77090"/>
        <s v="91120"/>
        <s v="93600"/>
        <s v="93150"/>
        <s v="91080"/>
        <s v="78630"/>
        <s v="91400"/>
        <s v="13100"/>
        <s v="37400"/>
        <s v="80440"/>
        <s v="16430"/>
        <s v="06560"/>
        <s v="84000"/>
        <s v="25000"/>
        <s v="33700"/>
        <s v="14000"/>
        <s v="54520"/>
        <s v="54180"/>
        <s v="44470"/>
        <s v="11100"/>
        <s v="28000"/>
        <s v="06700"/>
        <s v="68000"/>
        <s v="21160"/>
        <s v="45071"/>
        <s v="64230"/>
        <s v="38340"/>
        <s v="66600"/>
        <s v="62950"/>
        <s v="59810"/>
        <s v="51431"/>
        <s v="35200"/>
        <s v="87280"/>
        <s v="76800"/>
        <s v="57500"/>
        <s v="56850"/>
        <s v="69500"/>
        <s v="71000"/>
        <s v="67000"/>
        <s v="13127"/>
        <s v="83500"/>
        <s v="13011"/>
        <s v="31300"/>
        <s v="57280"/>
        <s v="62520"/>
        <s v="34070"/>
        <s v="68390"/>
        <s v="37170"/>
        <s v="26000"/>
        <s v="59220"/>
        <s v="95470"/>
        <s v="03200"/>
        <s v="35510"/>
        <s v="69007"/>
        <s v="06299"/>
        <s v="74000"/>
        <s v="49100"/>
        <s v="84700"/>
        <s v="17000"/>
        <s v="95713"/>
        <s v="45000"/>
        <s v="57000"/>
        <s v="34000"/>
        <s v="01000"/>
        <s v="14200"/>
        <s v="11000"/>
        <s v="73000"/>
        <s v="86100"/>
        <s v="76200"/>
        <s v="38000"/>
        <s v="53810"/>
        <s v="69003"/>
        <s v="77000"/>
        <s v="25200"/>
        <s v="26270"/>
        <s v="03000"/>
        <s v="77140"/>
        <s v="30900"/>
        <s v="93170"/>
        <s v="94250"/>
        <s v="24000"/>
        <s v="29000"/>
        <s v="74700"/>
        <s v="69400"/>
        <s v="56000"/>
        <s v="21000"/>
        <s v="86000"/>
        <s v="71570"/>
        <s v="34500"/>
        <s v="37100"/>
        <s v="84140"/>
        <s v="78120"/>
        <s v="28110"/>
        <s v="60200"/>
        <s v="13200"/>
        <s v="51000"/>
        <s v="59400"/>
        <s v="76360"/>
        <s v="59610"/>
        <s v="42120"/>
        <s v="60300"/>
        <s v="62100"/>
        <s v="92150"/>
        <s v="62500"/>
        <s v="26140"/>
        <s v="35400"/>
        <s v="35000"/>
        <s v="93800"/>
        <s v="69363"/>
        <s v="01700"/>
        <s v="80100"/>
        <s v="92081"/>
        <s v="06200"/>
        <s v="17100"/>
        <s v="75010"/>
        <s v="91021"/>
        <s v="92400"/>
        <s v="69570"/>
        <s v="75001"/>
        <s v="14800"/>
        <s v="13300"/>
        <s v="31700"/>
        <s v="42000"/>
        <s v="59000"/>
        <s v="51433"/>
        <s v="19100"/>
        <s v="95700"/>
        <s v="19300"/>
        <s v="18000"/>
        <s v="64600"/>
        <s v="89290"/>
        <s v="88007"/>
        <s v="33600"/>
        <s v="51200"/>
        <s v="44300"/>
        <s v="77160"/>
        <s v="44570"/>
        <s v="45200"/>
        <s v="56100"/>
        <s v="87000"/>
        <s v="50220"/>
        <s v="88000"/>
        <s v="44000"/>
        <s v="75015"/>
        <s v="56170"/>
        <s v="13007"/>
        <s v="41000"/>
        <s v="75013"/>
        <s v="84100"/>
        <s v="74200"/>
        <s v="95000"/>
        <s v="63100"/>
        <s v="50000"/>
        <s v="75012"/>
        <s v="58000"/>
        <s v="92360"/>
        <s v="33000"/>
        <s v="76700"/>
        <s v="64000"/>
        <s v="59500"/>
        <s v="06300"/>
        <s v="14400"/>
        <s v="21200"/>
        <s v="43000"/>
        <s v="54000"/>
        <s v="95972"/>
        <s v="91830"/>
        <s v="75009"/>
        <s v="61000"/>
        <s v="30000"/>
        <s v="14600"/>
        <s v="93290"/>
        <s v="77300"/>
        <s v="68180"/>
        <s v="94120"/>
        <s v="02400"/>
        <s v="66000"/>
        <s v="83170"/>
        <s v="83400"/>
        <s v="45800"/>
        <s v="36000"/>
        <s v="85000"/>
        <s v="13729"/>
        <s v="59700"/>
        <s v="88100"/>
        <s v="16100"/>
        <s v="29680"/>
        <s v="05000"/>
        <s v="17340"/>
        <s v="38090"/>
        <s v="78114"/>
        <s v="25640"/>
        <s v="13001"/>
        <s v="06150"/>
        <s v="44380"/>
        <s v="91886"/>
        <s v="74160"/>
        <s v="47000"/>
        <s v="86360"/>
        <s v="04200"/>
        <s v="13005"/>
        <s v="81000"/>
        <s v="49000"/>
        <s v="16000"/>
        <s v="14520"/>
        <s v="14390"/>
        <s v="34280"/>
        <s v="91550"/>
        <s v="27100"/>
        <s v="50170"/>
        <s v="68100"/>
        <s v="79000"/>
        <s v="76000"/>
        <s v="69002"/>
        <s v="94656"/>
        <s v="18570"/>
        <s v="20090"/>
        <s v="89000"/>
        <s v="62200"/>
        <s v="29200"/>
        <s v="06400"/>
        <s v="75011"/>
        <s v="75019"/>
        <s v="92130"/>
        <s v="78300"/>
        <s v="92500"/>
        <s v="78000"/>
        <s v="77420"/>
        <s v="17300"/>
        <s v="37000"/>
        <s v="38200"/>
        <s v="93885"/>
        <s v="70000"/>
        <s v="93160"/>
        <s v="94227"/>
        <s v="92000"/>
        <s v="62000"/>
        <s v="33800"/>
        <s v="52100"/>
        <s v="54500"/>
        <s v="83160"/>
        <s v="67380"/>
        <s v="75002"/>
        <s v="60610"/>
        <s v="69100"/>
        <s v="07200"/>
        <s v="64100"/>
        <s v="02100"/>
        <s v="63000"/>
        <s v="14700"/>
        <s v="78350"/>
        <s v="91300"/>
        <s v="14100"/>
        <s v="77184"/>
        <s v="89200"/>
        <s v="90000"/>
        <s v="22120"/>
        <s v="39100"/>
        <s v="01250"/>
        <s v="82000"/>
        <s v="91280"/>
        <s v="37300"/>
        <s v="63710"/>
        <s v="34540"/>
        <s v="44119"/>
        <s v="75008"/>
        <s v="93200"/>
        <s v="84300"/>
        <s v="92230"/>
        <s v="14150"/>
        <s v="91090"/>
        <s v="57600"/>
        <s v="92310"/>
        <s v="91000"/>
        <s v="33140"/>
        <s v="75020"/>
        <s v="67500"/>
        <s v="94220"/>
        <s v="54135"/>
        <s v="93500"/>
        <s v="83000"/>
        <s v="50470"/>
        <n v="82000"/>
        <s v="67118"/>
        <s v="94440"/>
        <s v="06220"/>
        <s v="03700"/>
        <s v="77645"/>
        <s v="83340"/>
        <n v="88000"/>
        <s v="94370"/>
        <s v="63170"/>
        <s v="95290"/>
        <s v="49480"/>
        <s v="95210"/>
        <s v="78197"/>
        <s v="44220"/>
        <s v="31770"/>
        <s v="69300"/>
        <s v="94360"/>
        <s v="73190"/>
        <s v="59760"/>
        <s v="78310"/>
        <s v="13590"/>
        <s v="83600"/>
        <s v="78210"/>
        <s v="65000"/>
        <s v="93250"/>
        <s v="76230"/>
        <s v="59790"/>
        <s v="31200"/>
        <s v="73200"/>
        <s v="69230"/>
        <s v="45770"/>
        <s v="06250"/>
        <s v="14280"/>
        <s v="40990"/>
        <s v="71480"/>
        <s v="14120"/>
        <s v="76140"/>
        <s v="06500"/>
        <s v="94410"/>
        <s v="94400"/>
        <s v="76400"/>
        <s v="92160"/>
        <s v="56700"/>
        <s v="77210"/>
        <s v="63300"/>
        <s v="12000"/>
        <s v="86962"/>
        <s v="93210"/>
        <s v="75005"/>
        <s v="65170"/>
        <s v="73101"/>
        <s v="73100"/>
        <s v="38100"/>
        <s v="38240"/>
        <s v="50400"/>
        <s v="13008"/>
        <s v="6200"/>
        <s v="78240"/>
        <s v="10000"/>
        <s v="62600"/>
        <s v="71400"/>
        <s v="92110"/>
        <s v="49300"/>
        <s v="22300"/>
        <s v="94130"/>
        <s v="56400"/>
        <s v="44811"/>
        <s v="78600"/>
        <s v="93120"/>
        <s v="32000"/>
        <s v="88200"/>
        <s v="80132"/>
        <s v="93300"/>
        <s v="14760"/>
        <s v="95974"/>
        <s v="80350"/>
        <s v="51370"/>
        <s v="33260"/>
        <s v="44980"/>
        <s v="56880"/>
        <s v="35135"/>
        <s v="14160"/>
        <s v="67600"/>
        <s v="56300"/>
        <s v="95800"/>
        <s v="84500"/>
        <s v="30380"/>
        <s v="93100"/>
        <s v="88250"/>
        <s v="94550"/>
        <s v="77340"/>
        <s v="29470"/>
        <s v="77144"/>
        <s v="39000"/>
        <s v="94150"/>
        <s v="69680"/>
        <s v="35760"/>
        <s v="63200"/>
        <s v="29900"/>
        <s v="63500"/>
        <s v="59650"/>
        <s v="69970"/>
        <s v="26200"/>
        <s v="78140"/>
        <s v="81500"/>
        <s v="94270"/>
        <s v="13400"/>
        <s v="84130"/>
        <s v="65100"/>
        <s v="95971"/>
        <s v="21700"/>
        <s v="92300"/>
        <s v="13600"/>
        <s v="21320"/>
        <s v="84120"/>
        <s v="45130"/>
        <s v="58640"/>
        <s v="61100"/>
        <s v="47520"/>
        <s v="47200"/>
        <s v="45100"/>
        <s v="72000"/>
        <s v="50200"/>
        <s v="04100"/>
        <s v="68300"/>
        <s v="12100"/>
        <s v="87100"/>
        <s v="14640"/>
        <s v="55000"/>
        <s v="44500"/>
        <s v="24100"/>
        <s v="60870"/>
        <s v="65310"/>
        <s v="22100"/>
        <s v="21850"/>
        <s v="33500"/>
        <s v="34200"/>
        <s v="38150"/>
        <s v="33100"/>
        <s v="92100"/>
        <s v="13002"/>
        <s v="67100"/>
        <s v="53960"/>
        <s v="74100"/>
        <s v="35500"/>
        <s v="80300"/>
        <s v="92190"/>
        <s v="94200"/>
        <s v="13290"/>
        <s v="57685"/>
        <s v="31800"/>
        <s v="06210"/>
        <s v="59140"/>
        <s v="59300"/>
        <s v="25300"/>
        <s v="13500"/>
        <s v="64500"/>
        <s v="44522"/>
        <s v="49400"/>
        <s v="59290"/>
        <s v="44800"/>
        <s v="13012"/>
        <s v="35600"/>
        <s v="29300"/>
        <s v="06370"/>
        <s v="24200"/>
        <s v="55100"/>
        <s v="28200"/>
        <s v="92320"/>
        <s v="25480"/>
        <s v="45380"/>
        <s v="94310"/>
        <s v="49500"/>
        <s v="6500"/>
        <s v="60880"/>
        <s v="13790"/>
        <s v="44400"/>
        <s v="80000"/>
        <s v="38180"/>
        <s v="33160"/>
        <s v="69006"/>
        <s v="59160"/>
        <s v="57100"/>
        <s v="83310"/>
        <s v="79260"/>
        <s v="13800"/>
        <s v="58200"/>
        <s v="38070"/>
        <s v="80700"/>
        <s v="13016"/>
        <s v="60400"/>
        <s v="91150"/>
        <s v="64200"/>
        <s v="88800"/>
        <s v="44200"/>
        <s v="92600"/>
        <s v="89100"/>
        <s v="01630"/>
        <s v="07250"/>
        <s v="85500"/>
        <s v="78201"/>
        <s v="11400"/>
        <s v="42300"/>
        <s v="01500"/>
        <s v="13310"/>
        <s v="83470"/>
        <s v="22970"/>
        <s v="22000"/>
        <s v="31500"/>
        <s v="37500"/>
        <s v="69125"/>
        <s v="59100"/>
        <s v="77950"/>
        <s v="06600"/>
        <s v="13006"/>
        <s v="71140"/>
        <s v="24750"/>
        <s v="95735"/>
        <s v="06310"/>
        <s v="31840"/>
        <s v="52000"/>
        <s v="77400"/>
        <s v="08600"/>
        <s v="59494"/>
        <s v="33330"/>
        <s v="41200"/>
        <s v="40100"/>
        <s v="51100"/>
        <s v="26300"/>
        <s v="85804"/>
        <s v="06110"/>
        <s v="15000"/>
        <s v="79230"/>
        <s v="20600"/>
        <s v="71300"/>
        <s v="62700"/>
        <s v="02200"/>
        <s v="34300"/>
        <s v="45500"/>
        <s v="85340"/>
        <s v="57400"/>
        <s v="78180"/>
        <s v="03500"/>
        <s v="17320"/>
        <s v="28630"/>
        <s v="47300"/>
        <s v="50100"/>
        <s v="77100"/>
        <s v="95190"/>
        <s v="81150"/>
        <s v="18100"/>
        <s v="14360"/>
        <s v="20000"/>
        <s v="92240"/>
        <s v="92210"/>
        <s v="91350"/>
        <s v="10410"/>
        <s v="78100"/>
        <s v="31677"/>
        <s v="66660"/>
        <s v="69120"/>
        <s v="77600"/>
        <s v="91310"/>
        <s v="81100"/>
        <s v="78280"/>
        <s v="93000"/>
        <s v="92140"/>
        <s v="93400"/>
        <s v="72230"/>
        <s v="06270"/>
        <s v="92800"/>
        <s v="33470"/>
        <s v="75016"/>
        <s v="53000"/>
        <s v="69740"/>
        <s v="95500"/>
        <s v="66140"/>
        <n v="95870"/>
        <s v="52200"/>
        <s v="45160"/>
        <s v="33310"/>
        <s v="74330"/>
        <s v="38920"/>
        <s v="31100"/>
        <s v="35610"/>
        <s v="13170"/>
        <s v="46000"/>
        <s v="34090"/>
        <s v="92330"/>
        <s v="95310"/>
        <s v="91380"/>
        <s v="69004"/>
        <s v="94260"/>
        <s v="38300"/>
        <s v="69330"/>
        <s v="45700"/>
        <s v="60500"/>
        <s v="34130"/>
        <s v="68730"/>
        <s v="28100"/>
        <s v="74120"/>
        <s v="93230"/>
        <s v="46100"/>
        <n v="29600"/>
        <s v="44150"/>
        <n v="62520"/>
        <s v="76100"/>
        <s v="74960"/>
        <n v="94120"/>
        <n v="92000"/>
        <n v="45000"/>
        <s v="22190"/>
        <s v="40000"/>
        <n v="38300"/>
        <s v="34400"/>
        <n v="94340"/>
        <n v="20137"/>
        <s v="74380"/>
        <s v="21600"/>
        <s v="65510"/>
        <s v="35133"/>
        <s v="44600"/>
        <n v="13700"/>
        <s v="41700"/>
        <n v="75014"/>
        <s v="62400"/>
        <s v="59960"/>
        <s v="62300"/>
        <n v="76000"/>
        <s v="69600"/>
        <n v="47000"/>
        <n v="31670"/>
        <n v="31700"/>
        <s v="33130"/>
        <n v="44119"/>
        <s v="74310"/>
        <s v="92290"/>
        <n v="94800"/>
        <s v="92340"/>
        <n v="26130"/>
        <n v="22600"/>
        <n v="13140"/>
        <n v="67300"/>
        <n v="67000"/>
        <n v="76100"/>
        <s v="29600"/>
        <s v="09110"/>
        <s v="89470"/>
        <s v="78260"/>
        <s v="17138"/>
        <s v="83700"/>
        <s v="59187"/>
        <s v="93284"/>
        <s v="13480"/>
        <s v="23000"/>
        <s v="28130"/>
        <s v="06190"/>
        <s v="01280"/>
      </sharedItems>
    </cacheField>
    <cacheField name="VILLE" numFmtId="0">
      <sharedItems/>
    </cacheField>
    <cacheField name="LONGITUDE" numFmtId="0">
      <sharedItems/>
    </cacheField>
    <cacheField name="LATITUDE" numFmtId="0">
      <sharedItems/>
    </cacheField>
    <cacheField name="LOCATION" numFmtId="0">
      <sharedItems/>
    </cacheField>
    <cacheField name="HOTEL LAST RENOVATION" numFmtId="14">
      <sharedItems containsSemiMixedTypes="0" containsNonDate="0" containsDate="1" containsString="0" minDate="2025-01-01T00:00:00" maxDate="2025-01-02T00:00:00"/>
    </cacheField>
    <cacheField name="LOBBY LAST RENOVATION" numFmtId="14">
      <sharedItems containsSemiMixedTypes="0" containsNonDate="0" containsDate="1" containsString="0" minDate="2025-01-01T00:00:00" maxDate="2025-01-02T00:00:00"/>
    </cacheField>
    <cacheField name="CONTRAT" numFmtId="0">
      <sharedItems/>
    </cacheField>
    <cacheField name="OWNER" numFmtId="0">
      <sharedItems/>
    </cacheField>
    <cacheField name="DOM/DOF" numFmtId="0">
      <sharedItems/>
    </cacheField>
    <cacheField name="PMS" numFmtId="0">
      <sharedItems count="7">
        <s v="FOLS"/>
        <s v="OPERA"/>
        <s v="HOTIX NON SRA"/>
        <s v="HOTIX"/>
        <s v="NON SRA"/>
        <s v="MEWS"/>
        <s v="-"/>
      </sharedItems>
    </cacheField>
    <cacheField name="# GUESTS PER ROOM" numFmtId="0">
      <sharedItems containsSemiMixedTypes="0" containsString="0" containsNumber="1" minValue="1.5" maxValue="1.5"/>
    </cacheField>
    <cacheField name="YTD OCC. RATE" numFmtId="9">
      <sharedItems containsSemiMixedTypes="0" containsString="0" containsNumber="1" minValue="0.7" maxValue="0.7"/>
    </cacheField>
    <cacheField name="LOWEST (MONTH)" numFmtId="0">
      <sharedItems/>
    </cacheField>
    <cacheField name="LOWEST (RATE)" numFmtId="9">
      <sharedItems containsSemiMixedTypes="0" containsString="0" containsNumber="1" minValue="0.6" maxValue="0.6"/>
    </cacheField>
    <cacheField name="HIGHEST (MONTH)" numFmtId="0">
      <sharedItems/>
    </cacheField>
    <cacheField name="HIGHEST (RATE)" numFmtId="9">
      <sharedItems containsSemiMixedTypes="0" containsString="0" containsNumber="1" minValue="0.8" maxValue="0.8"/>
    </cacheField>
    <cacheField name="BAR" numFmtId="0">
      <sharedItems containsSemiMixedTypes="0" containsString="0" containsNumber="1" containsInteger="1" minValue="0" maxValue="3" count="4">
        <n v="1"/>
        <n v="0"/>
        <n v="2"/>
        <n v="3"/>
      </sharedItems>
    </cacheField>
    <cacheField name="RESTAURANT" numFmtId="0">
      <sharedItems containsSemiMixedTypes="0" containsString="0" containsNumber="1" containsInteger="1" minValue="0" maxValue="3" count="4">
        <n v="1"/>
        <n v="0"/>
        <n v="2"/>
        <n v="3"/>
      </sharedItems>
    </cacheField>
    <cacheField name="ROOM-SERVICE" numFmtId="0">
      <sharedItems/>
    </cacheField>
    <cacheField name="MINIBAR" numFmtId="0">
      <sharedItems/>
    </cacheField>
    <cacheField name="MEETING ROOMS" numFmtId="0">
      <sharedItems containsMixedTypes="1" containsNumber="1" containsInteger="1" minValue="1" maxValue="36"/>
    </cacheField>
    <cacheField name="FITNESS" numFmtId="0">
      <sharedItems containsMixedTypes="1" containsNumber="1" containsInteger="1" minValue="1" maxValue="3"/>
    </cacheField>
    <cacheField name="SPA" numFmtId="0">
      <sharedItems containsSemiMixedTypes="0" containsString="0" containsNumber="1" containsInteger="1" minValue="0" maxValue="1"/>
    </cacheField>
    <cacheField name="POOL" numFmtId="0">
      <sharedItems containsMixedTypes="1" containsNumber="1" containsInteger="1" minValue="1" maxValue="3"/>
    </cacheField>
    <cacheField name="NATIONAL" numFmtId="9">
      <sharedItems containsSemiMixedTypes="0" containsString="0" containsNumber="1" minValue="0.5" maxValue="0.5"/>
    </cacheField>
    <cacheField name="INTERNATIONAL" numFmtId="9">
      <sharedItems containsSemiMixedTypes="0" containsString="0" containsNumber="1" minValue="0.5" maxValue="0.5"/>
    </cacheField>
    <cacheField name="LEISURE" numFmtId="9">
      <sharedItems containsSemiMixedTypes="0" containsString="0" containsNumber="1" minValue="0.4" maxValue="0.4"/>
    </cacheField>
    <cacheField name="BUSINESS" numFmtId="9">
      <sharedItems containsSemiMixedTypes="0" containsString="0" containsNumber="1" minValue="0.6" maxValue="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3">
  <r>
    <s v="H0338"/>
    <s v="IBIS ALES CENTRE VILLE"/>
    <x v="0"/>
    <s v="01/06/1975"/>
    <n v="75"/>
    <x v="0"/>
    <s v="18 RUE EDGAR QUINET"/>
    <s v="-"/>
    <s v="-"/>
    <x v="0"/>
    <s v="ALES"/>
    <s v="4.082268"/>
    <s v="44.123816"/>
    <s v="Centre ville"/>
    <d v="2025-01-01T00:00:00"/>
    <d v="2025-01-01T00:00:00"/>
    <s v="Franchisee"/>
    <s v="FAMILLE PHILIP"/>
    <s v="Jean-Claude FOUCHET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340"/>
    <s v="MERCURE ANNECY SUD"/>
    <x v="1"/>
    <s v="01/08/1974"/>
    <n v="67"/>
    <x v="0"/>
    <s v="76 AVENUE D'AIX LES BAINS"/>
    <s v="SEYNOD"/>
    <s v="BP 62"/>
    <x v="1"/>
    <s v="SEYNOD"/>
    <s v="6.106848"/>
    <s v="45.88894"/>
    <s v="Centre ville"/>
    <d v="2025-01-01T00:00:00"/>
    <d v="2025-01-01T00:00:00"/>
    <s v="Franchisee"/>
    <s v="FAMILLE LAVEDRINE"/>
    <s v="Bello DIALLO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0341"/>
    <s v="MERCURE LE HAVRE CTR COMMERCE"/>
    <x v="1"/>
    <s v="01/08/1980"/>
    <n v="99"/>
    <x v="0"/>
    <s v="CHAUSSÉE GEORGES POMPIDOU"/>
    <s v="-"/>
    <s v="-"/>
    <x v="2"/>
    <s v="LE HAVRE"/>
    <s v="0.116696"/>
    <s v="49.490106"/>
    <s v="Centre ville"/>
    <d v="2025-01-01T00:00:00"/>
    <d v="2025-01-01T00:00:00"/>
    <s v="Franchisee"/>
    <s v="GRAPE HOSPITALITY"/>
    <s v="Ronan LE MEUR"/>
    <x v="0"/>
    <n v="1.5"/>
    <n v="0.7"/>
    <s v="January"/>
    <n v="0.6"/>
    <s v="August"/>
    <n v="0.8"/>
    <x v="0"/>
    <x v="0"/>
    <s v="No"/>
    <s v="Yes"/>
    <n v="3"/>
    <n v="1"/>
    <n v="0"/>
    <s v="-"/>
    <n v="0.5"/>
    <n v="0.5"/>
    <n v="0.4"/>
    <n v="0.6"/>
  </r>
  <r>
    <s v="H0343"/>
    <s v="MERCURE ANNEMASSE PT GENEVE"/>
    <x v="1"/>
    <s v="01/01/1973"/>
    <n v="79"/>
    <x v="0"/>
    <s v="9 RUE DES JARDINS"/>
    <s v="-"/>
    <s v="-"/>
    <x v="3"/>
    <s v="GAILLARD"/>
    <s v="6.221565"/>
    <s v="46.18408"/>
    <s v="Centre ville"/>
    <d v="2025-01-01T00:00:00"/>
    <d v="2025-01-01T00:00:00"/>
    <s v="Franchisee"/>
    <s v="GRAPE HOSPITALITY"/>
    <s v="Bello DIALLO"/>
    <x v="0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0344"/>
    <s v="MERCURE LE MANS BATIGNOLLES"/>
    <x v="1"/>
    <s v="15/06/1984"/>
    <n v="75"/>
    <x v="0"/>
    <s v="BD D'ESTIENNE D'ORVES"/>
    <s v="17 RUE DE LA POINTE"/>
    <s v="-"/>
    <x v="4"/>
    <s v="LE MANS"/>
    <s v="0.188488"/>
    <s v="47.983531"/>
    <s v="Centre ville"/>
    <d v="2025-01-01T00:00:00"/>
    <d v="2025-01-01T00:00:00"/>
    <s v="Franchisee"/>
    <s v="PIERRE LELONG"/>
    <s v="Bruno COQUAZ"/>
    <x v="0"/>
    <n v="1.5"/>
    <n v="0.7"/>
    <s v="January"/>
    <n v="0.6"/>
    <s v="August"/>
    <n v="0.8"/>
    <x v="0"/>
    <x v="0"/>
    <s v="No"/>
    <s v="Yes"/>
    <n v="1"/>
    <n v="1"/>
    <n v="0"/>
    <n v="1"/>
    <n v="0.5"/>
    <n v="0.5"/>
    <n v="0.4"/>
    <n v="0.6"/>
  </r>
  <r>
    <s v="H0345"/>
    <s v="MERCURE LYON CHARBONNIERES"/>
    <x v="1"/>
    <s v="01/01/1974"/>
    <n v="58"/>
    <x v="0"/>
    <s v="78  BIS ROUTE DE PARIS"/>
    <s v="ROUTE NATIONALE 7"/>
    <s v="-"/>
    <x v="5"/>
    <s v="CHARBONNIERES LES BAINS"/>
    <s v="4.750488"/>
    <s v="45.780829"/>
    <s v="Centre ville"/>
    <d v="2025-01-01T00:00:00"/>
    <d v="2025-01-01T00:00:00"/>
    <s v="Franchisee"/>
    <s v="DAMIEN COMBET"/>
    <s v="Katia GARNIER"/>
    <x v="0"/>
    <n v="1.5"/>
    <n v="0.7"/>
    <s v="January"/>
    <n v="0.6"/>
    <s v="August"/>
    <n v="0.8"/>
    <x v="0"/>
    <x v="0"/>
    <s v="No"/>
    <s v="Yes"/>
    <n v="3"/>
    <n v="1"/>
    <n v="0"/>
    <s v="-"/>
    <n v="0.5"/>
    <n v="0.5"/>
    <n v="0.4"/>
    <n v="0.6"/>
  </r>
  <r>
    <s v="H0348"/>
    <s v="MERCURE AUXERRE"/>
    <x v="1"/>
    <s v="01/07/1982"/>
    <n v="77"/>
    <x v="0"/>
    <s v="ROUTE NATIONALE 6"/>
    <s v="LIEU-DIT &quot;LE CHAUMOIS&quot;"/>
    <s v="-"/>
    <x v="6"/>
    <s v="APPOIGNY"/>
    <s v="3.543895"/>
    <s v="47.852896"/>
    <s v="Centre ville"/>
    <d v="2025-01-01T00:00:00"/>
    <d v="2025-01-01T00:00:00"/>
    <s v="Franchisee"/>
    <s v="JEAN MARIE FRAGNE"/>
    <s v="Bruno COQUAZ"/>
    <x v="1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0349"/>
    <s v="IBIS STYLES LYON SUD VIENNE"/>
    <x v="2"/>
    <s v="01/01/1976"/>
    <n v="115"/>
    <x v="1"/>
    <s v="1363 AVENUE FRÉDÉRIC MISTRAL"/>
    <s v="-"/>
    <s v="-"/>
    <x v="7"/>
    <s v="CHASSE SUR RHONE"/>
    <s v="4.807219"/>
    <s v="45.575935"/>
    <s v="Centre ville"/>
    <d v="2025-01-01T00:00:00"/>
    <d v="2025-01-01T00:00:00"/>
    <s v="Franchisee"/>
    <s v="LAURENCE DONAT"/>
    <s v="Katia GARNIER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350"/>
    <s v="IBIS STYLES BEAUVAIS"/>
    <x v="2"/>
    <s v="01/10/1974"/>
    <n v="60"/>
    <x v="0"/>
    <s v="HOTEL IBIS STYLES"/>
    <s v="21 AVENUE MONTAIGNE"/>
    <s v="-"/>
    <x v="8"/>
    <s v="BEAUVAIS"/>
    <s v="2.106659"/>
    <s v="49.412471"/>
    <s v="Centre ville"/>
    <d v="2025-01-01T00:00:00"/>
    <d v="2025-01-01T00:00:00"/>
    <s v="Franchisee"/>
    <s v="LUDOVIC WALOSZEK"/>
    <s v="Sophie CHOLLON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0351"/>
    <s v="MERCURE RASPAIL MONTPARNASSE"/>
    <x v="1"/>
    <s v="19/06/1997"/>
    <n v="63"/>
    <x v="0"/>
    <s v="207 BOULEVARD RASPAIL"/>
    <s v="-"/>
    <s v="-"/>
    <x v="9"/>
    <s v="PARIS"/>
    <s v="2.329842"/>
    <s v="48.841369"/>
    <s v="Centre ville"/>
    <d v="2025-01-01T00:00:00"/>
    <d v="2025-01-01T00:00:00"/>
    <s v="Franchisee"/>
    <s v="COFIGAD - EME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354"/>
    <s v="IBIS METZ WOIPPY"/>
    <x v="0"/>
    <s v="01/06/1979"/>
    <n v="83"/>
    <x v="0"/>
    <s v="56 RUE DU FORT GAMBETTA"/>
    <s v="-"/>
    <s v="-"/>
    <x v="10"/>
    <s v="WOIPPY"/>
    <s v="6.17776"/>
    <s v="49.150142"/>
    <s v="Centre ville"/>
    <d v="2025-01-01T00:00:00"/>
    <d v="2025-01-01T00:00:00"/>
    <s v="Franchisee"/>
    <s v="GRAPE HOSPITALITY"/>
    <s v="Christophe RUQUEBOEUCHE"/>
    <x v="1"/>
    <n v="1.5"/>
    <n v="0.7"/>
    <s v="January"/>
    <n v="0.6"/>
    <s v="August"/>
    <n v="0.8"/>
    <x v="0"/>
    <x v="0"/>
    <s v="No"/>
    <s v="Yes"/>
    <n v="2"/>
    <n v="1"/>
    <n v="0"/>
    <s v="-"/>
    <n v="0.5"/>
    <n v="0.5"/>
    <n v="0.4"/>
    <n v="0.6"/>
  </r>
  <r>
    <s v="H0355"/>
    <s v="IBIS BELFORT DANJOUTIN"/>
    <x v="0"/>
    <s v="01/10/1974"/>
    <n v="80"/>
    <x v="0"/>
    <s v="13 RUE DU DOCTEUR JACQUOT"/>
    <s v="-"/>
    <s v="-"/>
    <x v="11"/>
    <s v="DANJOUTIN"/>
    <s v="6.861314"/>
    <s v="47.616683"/>
    <s v="Centre ville"/>
    <d v="2025-01-01T00:00:00"/>
    <d v="2025-01-01T00:00:00"/>
    <s v="Franchisee"/>
    <s v="SOMNOO"/>
    <s v="Eric MARAIS"/>
    <x v="1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0356"/>
    <s v="IBIS BORDEAUX LAC"/>
    <x v="0"/>
    <s v="01/05/1975"/>
    <n v="116"/>
    <x v="1"/>
    <s v="RUE DU PETIT BARAIL"/>
    <s v="QUARTIER DU LAC"/>
    <s v="-"/>
    <x v="12"/>
    <s v="BORDEAUX"/>
    <s v="-0.565293"/>
    <s v="44.889503"/>
    <s v="Centre ville"/>
    <d v="2025-01-01T00:00:00"/>
    <d v="2025-01-01T00:00:00"/>
    <s v="Franchisee"/>
    <s v="GROUPE COVIVIO"/>
    <s v="Damien RAPHANEL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358"/>
    <s v="MERCURE BRIVE"/>
    <x v="1"/>
    <s v="01/05/1977"/>
    <n v="57"/>
    <x v="0"/>
    <s v="LE GRIFFOLET"/>
    <s v="-"/>
    <s v="-"/>
    <x v="13"/>
    <s v="USSAC"/>
    <s v="1.483228"/>
    <s v="45.167102"/>
    <s v="Centre ville"/>
    <d v="2025-01-01T00:00:00"/>
    <d v="2025-01-01T00:00:00"/>
    <s v="Franchisee"/>
    <s v="HENRY GAUZE"/>
    <s v="Dominique CHEVANCE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0360"/>
    <s v="MERCURE NICE PROM D ANGLAIS"/>
    <x v="1"/>
    <s v="01/07/1977"/>
    <n v="124"/>
    <x v="1"/>
    <s v="2 RUE HALEVY"/>
    <s v="-"/>
    <s v="-"/>
    <x v="14"/>
    <s v="NICE"/>
    <s v="7.265471"/>
    <s v="43.695385"/>
    <s v="Centre ville"/>
    <d v="2025-01-01T00:00:00"/>
    <d v="2025-01-01T00:00:00"/>
    <s v="Franchisee"/>
    <s v="GROUPE COVIVIO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0363"/>
    <s v="MERCURE REIMS PARC EXPOS"/>
    <x v="1"/>
    <s v="01/05/1974"/>
    <n v="101"/>
    <x v="1"/>
    <s v="2 RUE GABRIEL VOISIN"/>
    <s v="BP 308"/>
    <s v="-"/>
    <x v="15"/>
    <s v="REIMS"/>
    <s v="4.070269"/>
    <s v="49.2357"/>
    <s v="Centre ville"/>
    <d v="2025-01-01T00:00:00"/>
    <d v="2025-01-01T00:00:00"/>
    <s v="Franchisee"/>
    <s v="GRAPE HOSPITALITY"/>
    <s v="Benoit DUCHE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0364"/>
    <s v="IBIS CHARLEVILLE MEZIERES"/>
    <x v="0"/>
    <s v="08/10/1973"/>
    <n v="68"/>
    <x v="0"/>
    <s v="RUE LOUISE MICHEL"/>
    <s v="-"/>
    <s v="-"/>
    <x v="16"/>
    <s v="VILLERS SEMEUSE"/>
    <s v="4.74427"/>
    <s v="49.736837"/>
    <s v="Centre ville"/>
    <d v="2025-01-01T00:00:00"/>
    <d v="2025-01-01T00:00:00"/>
    <s v="Franchisee"/>
    <s v="FAMILLE GIRARD"/>
    <s v="Christophe RUQUEBOEUCH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368"/>
    <s v="IBIS STYLES CHALON SUR SAONE"/>
    <x v="2"/>
    <s v="01/04/1973"/>
    <n v="88"/>
    <x v="0"/>
    <s v="AVENUE DE L'EUROPE"/>
    <s v="-"/>
    <s v="-"/>
    <x v="17"/>
    <s v="CHALON SUR SAONE"/>
    <s v="4.832352"/>
    <s v="46.799652"/>
    <s v="Centre ville"/>
    <d v="2025-01-01T00:00:00"/>
    <d v="2025-01-01T00:00:00"/>
    <s v="Franchisee"/>
    <s v="FABRICE DURAND"/>
    <s v="Katia GARNIER"/>
    <x v="0"/>
    <n v="1.5"/>
    <n v="0.7"/>
    <s v="January"/>
    <n v="0.6"/>
    <s v="August"/>
    <n v="0.8"/>
    <x v="0"/>
    <x v="0"/>
    <s v="No"/>
    <s v="Yes"/>
    <n v="3"/>
    <n v="1"/>
    <n v="0"/>
    <n v="1"/>
    <n v="0.5"/>
    <n v="0.5"/>
    <n v="0.4"/>
    <n v="0.6"/>
  </r>
  <r>
    <s v="H0369"/>
    <s v="MERCURE STRASBOURG AEROPORT"/>
    <x v="1"/>
    <s v="01/03/1974"/>
    <n v="97"/>
    <x v="0"/>
    <s v="26 RUE DU 23 NOVEMBRE"/>
    <s v="-"/>
    <s v="-"/>
    <x v="18"/>
    <s v="OSTWALD"/>
    <s v="7.702017"/>
    <s v="48.533459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0"/>
    <s v="No"/>
    <s v="Yes"/>
    <n v="6"/>
    <n v="1"/>
    <n v="0"/>
    <n v="1"/>
    <n v="0.5"/>
    <n v="0.5"/>
    <n v="0.4"/>
    <n v="0.6"/>
  </r>
  <r>
    <s v="H0370"/>
    <s v="MERCURE TOULOUSE ST GEORGES"/>
    <x v="1"/>
    <s v="01/09/1976"/>
    <n v="148"/>
    <x v="1"/>
    <s v="RUE SAINT JÉROME"/>
    <s v="GPS : 1 RUE PAUL MÉRIEL"/>
    <s v="-"/>
    <x v="19"/>
    <s v="TOULOUSE"/>
    <s v="1.448394"/>
    <s v="43.603511"/>
    <s v="Centre ville"/>
    <d v="2025-01-01T00:00:00"/>
    <d v="2025-01-01T00:00:00"/>
    <s v="Franchisee"/>
    <s v="GROUPE COVIVIO"/>
    <s v="Hubert VANQUATHEM"/>
    <x v="1"/>
    <n v="1.5"/>
    <n v="0.7"/>
    <s v="January"/>
    <n v="0.6"/>
    <s v="August"/>
    <n v="0.8"/>
    <x v="0"/>
    <x v="1"/>
    <s v="No"/>
    <s v="Yes"/>
    <n v="10"/>
    <n v="1"/>
    <n v="0"/>
    <n v="1"/>
    <n v="0.5"/>
    <n v="0.5"/>
    <n v="0.4"/>
    <n v="0.6"/>
  </r>
  <r>
    <s v="H0372"/>
    <s v="MERCURE PARIS ARC TR ETOILE"/>
    <x v="1"/>
    <s v="01/09/1976"/>
    <n v="54"/>
    <x v="0"/>
    <s v="27 AVENUE DES TERNES"/>
    <s v="-"/>
    <s v="-"/>
    <x v="20"/>
    <s v="PARIS"/>
    <s v="2.295069"/>
    <s v="48.878381"/>
    <s v="Centre ville"/>
    <d v="2025-01-01T00:00:00"/>
    <d v="2025-01-01T00:00:00"/>
    <s v="Managed"/>
    <s v="ACCORINVEST FRANCE"/>
    <s v="Philippe JAUSSELY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0373"/>
    <s v="MERCURE MONTMARTRE SACRE COEUR"/>
    <x v="1"/>
    <s v="01/01/1982"/>
    <n v="305"/>
    <x v="2"/>
    <s v="3  RUE CAULAINCOURT"/>
    <s v="-"/>
    <s v="-"/>
    <x v="21"/>
    <s v="PARIS"/>
    <s v="2.329923"/>
    <s v="48.885048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1"/>
    <x v="0"/>
    <s v="No"/>
    <s v="Yes"/>
    <n v="1"/>
    <n v="1"/>
    <n v="0"/>
    <s v="-"/>
    <n v="0.5"/>
    <n v="0.5"/>
    <n v="0.4"/>
    <n v="0.6"/>
  </r>
  <r>
    <s v="H0374"/>
    <s v="MERCURE PARIS PTE D ORLEANS"/>
    <x v="1"/>
    <s v="01/08/1977"/>
    <n v="188"/>
    <x v="3"/>
    <s v="13 RUE FRANCOIS ORY"/>
    <s v="-"/>
    <s v="-"/>
    <x v="22"/>
    <s v="MONTROUGE"/>
    <s v="2.329034"/>
    <s v="48.81801"/>
    <s v="Centre ville"/>
    <d v="2025-01-01T00:00:00"/>
    <d v="2025-01-01T00:00:00"/>
    <s v="Managed"/>
    <s v="ACCORINVEST FRANCE"/>
    <s v="Vincent GAUTIER"/>
    <x v="1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0375"/>
    <s v="MERCURE PARIS PTE VERSAIL EXPO"/>
    <x v="1"/>
    <s v="01/05/1980"/>
    <n v="388"/>
    <x v="2"/>
    <s v="36 38  RUE DU MOULIN"/>
    <s v="-"/>
    <s v="-"/>
    <x v="23"/>
    <s v="VANVES"/>
    <s v="2.292001"/>
    <s v="48.827125"/>
    <s v="Centre ville"/>
    <d v="2025-01-01T00:00:00"/>
    <d v="2025-01-01T00:00:00"/>
    <s v="Managed"/>
    <s v="ACCORINVEST FRANCE"/>
    <s v="Philippe JAUSSELY"/>
    <x v="0"/>
    <n v="1.5"/>
    <n v="0.7"/>
    <s v="January"/>
    <n v="0.6"/>
    <s v="August"/>
    <n v="0.8"/>
    <x v="0"/>
    <x v="0"/>
    <s v="No"/>
    <s v="Yes"/>
    <n v="16"/>
    <n v="1"/>
    <n v="0"/>
    <s v="-"/>
    <n v="0.5"/>
    <n v="0.5"/>
    <n v="0.4"/>
    <n v="0.6"/>
  </r>
  <r>
    <s v="H0376"/>
    <s v="MERCURE PARIS SUD LES ULIS"/>
    <x v="1"/>
    <s v="01/02/1974"/>
    <n v="110"/>
    <x v="1"/>
    <s v="3 RUE DU RIO SALADO"/>
    <s v="COURTABOEUF"/>
    <s v="-"/>
    <x v="24"/>
    <s v="LES ULIS"/>
    <s v="2.198776"/>
    <s v="48.679287"/>
    <s v="Centre ville"/>
    <d v="2025-01-01T00:00:00"/>
    <d v="2025-01-01T00:00:00"/>
    <s v="Franchisee"/>
    <s v="SAMIR PATEL"/>
    <s v="Thomas COSTES"/>
    <x v="1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379"/>
    <s v="MERCURE VERSAILLES PARIS OUEST"/>
    <x v="1"/>
    <s v="17/03/1976"/>
    <n v="89"/>
    <x v="0"/>
    <s v="RUE DE MARLY LE ROI"/>
    <s v="-"/>
    <s v="-"/>
    <x v="25"/>
    <s v="LE CHESNAY"/>
    <s v="2.117798"/>
    <s v="48.829816"/>
    <s v="Centre ville"/>
    <d v="2025-01-01T00:00:00"/>
    <d v="2025-01-01T00:00:00"/>
    <s v="Franchisee"/>
    <s v="VINCENT AUGEY"/>
    <s v="Pierre LAGRANG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380"/>
    <s v="NOVOTEL PARIS EST"/>
    <x v="3"/>
    <s v="01/05/1973"/>
    <n v="609"/>
    <x v="2"/>
    <s v="1 AVENUE DE LA REPUBLIQUE"/>
    <s v="-"/>
    <s v="-"/>
    <x v="26"/>
    <s v="BAGNOLET"/>
    <s v="2.414708"/>
    <s v="48.863202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0"/>
    <x v="0"/>
    <s v="No"/>
    <s v="Yes"/>
    <n v="29"/>
    <n v="1"/>
    <n v="0"/>
    <s v="-"/>
    <n v="0.5"/>
    <n v="0.5"/>
    <n v="0.4"/>
    <n v="0.6"/>
  </r>
  <r>
    <s v="H0382"/>
    <s v="NOVOTEL PARIS CRETEIL LE LAC"/>
    <x v="3"/>
    <s v="01/09/1973"/>
    <n v="111"/>
    <x v="1"/>
    <s v="RUE JEAN GABIN"/>
    <s v="RN 186"/>
    <s v="-"/>
    <x v="27"/>
    <s v="CRETEIL"/>
    <s v="2.446389"/>
    <s v="48.780783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0"/>
    <s v="No"/>
    <s v="Yes"/>
    <n v="15"/>
    <s v="-"/>
    <n v="0"/>
    <n v="1"/>
    <n v="0.5"/>
    <n v="0.5"/>
    <n v="0.4"/>
    <n v="0.6"/>
  </r>
  <r>
    <s v="H0383"/>
    <s v="NOVOTEL DOMAINE DE MAFFLIERS"/>
    <x v="3"/>
    <s v="01/06/1977"/>
    <n v="107"/>
    <x v="1"/>
    <s v="ALLÉE DES MARRONNIERS"/>
    <s v="DOMAINE DE MAFFLIERS"/>
    <s v="-"/>
    <x v="28"/>
    <s v="MAFFLIERS"/>
    <s v="2.308163"/>
    <s v="49.073465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2"/>
    <s v="No"/>
    <s v="Yes"/>
    <n v="5"/>
    <s v="-"/>
    <n v="0"/>
    <n v="2"/>
    <n v="0.5"/>
    <n v="0.5"/>
    <n v="0.4"/>
    <n v="0.6"/>
  </r>
  <r>
    <s v="H0384"/>
    <s v="NOVOTEL FONTAINEBLEAU URY"/>
    <x v="3"/>
    <s v="01/01/1973"/>
    <n v="126"/>
    <x v="1"/>
    <s v="ROUTE NATIONALE 152"/>
    <s v="CHEMIN DE MELUN"/>
    <s v="-"/>
    <x v="29"/>
    <s v="URY"/>
    <s v="2.607622"/>
    <s v="48.349362"/>
    <s v="Centre ville"/>
    <d v="2025-01-01T00:00:00"/>
    <d v="2025-01-01T00:00:00"/>
    <s v="Franchisee"/>
    <s v="SOMNOO"/>
    <s v="Sophie CHOLLON"/>
    <x v="1"/>
    <n v="1.5"/>
    <n v="0.7"/>
    <s v="January"/>
    <n v="0.6"/>
    <s v="August"/>
    <n v="0.8"/>
    <x v="0"/>
    <x v="0"/>
    <s v="No"/>
    <s v="Yes"/>
    <n v="18"/>
    <n v="1"/>
    <n v="1"/>
    <n v="1"/>
    <n v="0.5"/>
    <n v="0.5"/>
    <n v="0.4"/>
    <n v="0.6"/>
  </r>
  <r>
    <s v="H0385"/>
    <s v="NOVOTEL MARNE VALLEE COLLEGIEN"/>
    <x v="3"/>
    <s v="18/06/1980"/>
    <n v="193"/>
    <x v="3"/>
    <s v="2 ALLÉE DES PORTES DE LA FORÊT"/>
    <s v="Z.A.E LES PORTES DE LA FORÊT"/>
    <s v="CS 50024"/>
    <x v="30"/>
    <s v="COLLEGIEN"/>
    <s v="2.678132"/>
    <s v="48.83067"/>
    <s v="Centre ville"/>
    <d v="2025-01-01T00:00:00"/>
    <d v="2025-01-01T00:00:00"/>
    <s v="Franchisee"/>
    <s v="ARNAUD FAYET"/>
    <s v="Benoit DUCHE"/>
    <x v="0"/>
    <n v="1.5"/>
    <n v="0.7"/>
    <s v="January"/>
    <n v="0.6"/>
    <s v="August"/>
    <n v="0.8"/>
    <x v="2"/>
    <x v="0"/>
    <s v="No"/>
    <s v="Yes"/>
    <n v="18"/>
    <n v="1"/>
    <n v="0"/>
    <n v="1"/>
    <n v="0.5"/>
    <n v="0.5"/>
    <n v="0.4"/>
    <n v="0.6"/>
  </r>
  <r>
    <s v="H0386"/>
    <s v="NOVOTEL MASSY PALAISEAU"/>
    <x v="3"/>
    <s v="01/10/1974"/>
    <n v="147"/>
    <x v="1"/>
    <s v="18. 20 AVENUE EMILE BAUDOT"/>
    <s v="-"/>
    <s v="-"/>
    <x v="31"/>
    <s v="PALAISEAU"/>
    <s v="2.263697"/>
    <s v="48.719146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2"/>
    <x v="0"/>
    <s v="No"/>
    <s v="Yes"/>
    <n v="7"/>
    <s v="-"/>
    <n v="0"/>
    <n v="1"/>
    <n v="0.5"/>
    <n v="0.5"/>
    <n v="0.4"/>
    <n v="0.6"/>
  </r>
  <r>
    <s v="H0387"/>
    <s v="NOVOTEL PARIS NORD EXPO AULNAY"/>
    <x v="3"/>
    <s v="01/11/1974"/>
    <n v="139"/>
    <x v="1"/>
    <s v="65 RUE MICHEL ANGE"/>
    <s v="CARREFOUR DE L' EUROPE"/>
    <s v="SEINE SAINT DENIS"/>
    <x v="32"/>
    <s v="AULNAY SOUS BOIS"/>
    <s v="2.485077"/>
    <s v="48.95322"/>
    <s v="Centre ville"/>
    <d v="2025-01-01T00:00:00"/>
    <d v="2025-01-01T00:00:00"/>
    <s v="Franchisee"/>
    <s v="H.S.I"/>
    <s v="Thomas COSTES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388"/>
    <s v="MERCURE PARIS LE BOURGET"/>
    <x v="1"/>
    <s v="01/08/1974"/>
    <n v="145"/>
    <x v="1"/>
    <s v="2  RUE JEAN PERRIN"/>
    <s v="LE BLANC MESNIL CEDEX"/>
    <s v="-"/>
    <x v="33"/>
    <s v="LE BLANC MESNIL"/>
    <s v="2.450349"/>
    <s v="48.953152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0389"/>
    <s v="NOVOTEL EVRY COURCOURONNES"/>
    <x v="3"/>
    <s v="01/01/1970"/>
    <n v="177"/>
    <x v="3"/>
    <s v="3 RUE DE LA MARE NEUVE"/>
    <s v="LAC DE COURCOURONNES"/>
    <s v="-"/>
    <x v="34"/>
    <s v="EVRY"/>
    <s v="2.425259"/>
    <s v="48.616784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2"/>
    <s v="No"/>
    <s v="Yes"/>
    <n v="6"/>
    <n v="1"/>
    <n v="0"/>
    <s v="-"/>
    <n v="0.5"/>
    <n v="0.5"/>
    <n v="0.4"/>
    <n v="0.6"/>
  </r>
  <r>
    <s v="H0390"/>
    <s v="NOVOTEL POISSY ORGEVAL"/>
    <x v="3"/>
    <s v="28/11/1972"/>
    <n v="120"/>
    <x v="1"/>
    <s v="482 ROUTE DES 40 SOUS"/>
    <s v="-"/>
    <s v="-"/>
    <x v="35"/>
    <s v="ORGEVAL"/>
    <s v="1.996545"/>
    <s v="48.924561"/>
    <s v="Centre ville"/>
    <d v="2025-01-01T00:00:00"/>
    <d v="2025-01-01T00:00:00"/>
    <s v="Managed"/>
    <s v="ACCORINVEST FRANCE"/>
    <s v="Laurence PEREIRA"/>
    <x v="1"/>
    <n v="1.5"/>
    <n v="0.7"/>
    <s v="January"/>
    <n v="0.6"/>
    <s v="August"/>
    <n v="0.8"/>
    <x v="0"/>
    <x v="0"/>
    <s v="No"/>
    <s v="Yes"/>
    <n v="11"/>
    <s v="-"/>
    <n v="0"/>
    <n v="1"/>
    <n v="0.5"/>
    <n v="0.5"/>
    <n v="0.4"/>
    <n v="0.6"/>
  </r>
  <r>
    <s v="H0392"/>
    <s v="NOVOTEL PARIS SACLAY"/>
    <x v="3"/>
    <s v="05/11/1974"/>
    <n v="139"/>
    <x v="1"/>
    <s v="RUE CHARLES THOMASSIN"/>
    <s v="-"/>
    <s v="-"/>
    <x v="36"/>
    <s v="SACLAY"/>
    <s v="2.169285"/>
    <s v="48.732941"/>
    <s v="Centre ville"/>
    <d v="2025-01-01T00:00:00"/>
    <d v="2025-01-01T00:00:00"/>
    <s v="Managed"/>
    <s v="ACCORINVEST FRANCE"/>
    <s v="Vincent GAUTIER"/>
    <x v="1"/>
    <n v="1.5"/>
    <n v="0.7"/>
    <s v="January"/>
    <n v="0.6"/>
    <s v="August"/>
    <n v="0.8"/>
    <x v="0"/>
    <x v="0"/>
    <s v="No"/>
    <s v="Yes"/>
    <n v="15"/>
    <s v="-"/>
    <n v="0"/>
    <n v="1"/>
    <n v="0.5"/>
    <n v="0.5"/>
    <n v="0.4"/>
    <n v="0.6"/>
  </r>
  <r>
    <s v="H0393"/>
    <s v="MERCURE AIX EN PROV BEAUMANOIR"/>
    <x v="1"/>
    <s v="01/05/1975"/>
    <n v="102"/>
    <x v="1"/>
    <s v="RUE MARCEL ARNAUD"/>
    <s v="RÉSIDENCE BEAUMANOIR"/>
    <s v="-"/>
    <x v="37"/>
    <s v="AIX EN PROVENCE"/>
    <s v="5.466705"/>
    <s v="43.514263"/>
    <s v="Centre ville"/>
    <d v="2025-01-01T00:00:00"/>
    <d v="2025-01-01T00:00:00"/>
    <s v="Franchisee"/>
    <s v="CASTELLET HOSPITALITY"/>
    <s v="Alexandra LAUNAY"/>
    <x v="1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394"/>
    <s v="NOVOTEL AIX PONT DE L ARC"/>
    <x v="3"/>
    <s v="01/04/1973"/>
    <n v="80"/>
    <x v="0"/>
    <s v="AVENUE ARC DE MEYRAN"/>
    <s v="-"/>
    <s v="-"/>
    <x v="37"/>
    <s v="AIX EN PROVENCE"/>
    <s v="5.456976"/>
    <s v="43.51167"/>
    <s v="Centre ville"/>
    <d v="2025-01-01T00:00:00"/>
    <d v="2025-01-01T00:00:00"/>
    <s v="Franchisee"/>
    <s v="CASTELLET HOSPITALITY"/>
    <s v="Alexandra LAUNAY"/>
    <x v="1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0395"/>
    <s v="NOVOTEL AMBOISE"/>
    <x v="3"/>
    <s v="15/04/1981"/>
    <n v="121"/>
    <x v="1"/>
    <s v="17 RUE DES SABLONNIÈRES"/>
    <s v="-"/>
    <s v="-"/>
    <x v="38"/>
    <s v="AMBOISE"/>
    <s v="0.990145"/>
    <s v="47.397624"/>
    <s v="Centre ville"/>
    <d v="2025-01-01T00:00:00"/>
    <d v="2025-01-01T00:00:00"/>
    <s v="Franchisee"/>
    <s v="JEAN-PIERRE BERTOLINO"/>
    <s v="Bruno COQUAZ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0396"/>
    <s v="NOVOTEL AMIENS JULES VERNE"/>
    <x v="3"/>
    <s v="01/03/1972"/>
    <n v="94"/>
    <x v="0"/>
    <s v="PÔLE JULES VERNE"/>
    <s v="7 RUE DES INDES NOIRES"/>
    <s v="-"/>
    <x v="39"/>
    <s v="BOVES"/>
    <s v="2.371271"/>
    <s v="49.865927"/>
    <s v="Centre ville"/>
    <d v="2025-01-01T00:00:00"/>
    <d v="2025-01-01T00:00:00"/>
    <s v="Franchisee"/>
    <s v="GROUPE DERET"/>
    <s v="Muriel JACQUELINE"/>
    <x v="0"/>
    <n v="1.5"/>
    <n v="0.7"/>
    <s v="January"/>
    <n v="0.6"/>
    <s v="August"/>
    <n v="0.8"/>
    <x v="0"/>
    <x v="0"/>
    <s v="No"/>
    <s v="Yes"/>
    <n v="9"/>
    <s v="-"/>
    <n v="0"/>
    <n v="1"/>
    <n v="0.5"/>
    <n v="0.5"/>
    <n v="0.4"/>
    <n v="0.6"/>
  </r>
  <r>
    <s v="H0397"/>
    <s v="IBIS STYLES ANGOULEME NORD"/>
    <x v="2"/>
    <s v="15/06/1974"/>
    <n v="64"/>
    <x v="0"/>
    <s v="RUE DE L'ARÊTIER"/>
    <s v="122 RUE DES MENEAUX"/>
    <s v="-"/>
    <x v="40"/>
    <s v="CHAMPNIERS"/>
    <s v="0.179575"/>
    <s v="45.693115"/>
    <s v="Centre ville"/>
    <d v="2025-01-01T00:00:00"/>
    <d v="2025-01-01T00:00:00"/>
    <s v="Franchisee"/>
    <s v="DENIS FAUQUE"/>
    <s v="Dominique CHEVANCE"/>
    <x v="0"/>
    <n v="1.5"/>
    <n v="0.7"/>
    <s v="January"/>
    <n v="0.6"/>
    <s v="August"/>
    <n v="0.8"/>
    <x v="0"/>
    <x v="1"/>
    <s v="No"/>
    <s v="Yes"/>
    <n v="5"/>
    <s v="-"/>
    <n v="0"/>
    <s v="-"/>
    <n v="0.5"/>
    <n v="0.5"/>
    <n v="0.4"/>
    <n v="0.6"/>
  </r>
  <r>
    <s v="H0398"/>
    <s v="NOVOTEL ANTIBES SOPHIA ANTIPOLIS"/>
    <x v="3"/>
    <s v="01/07/1977"/>
    <n v="97"/>
    <x v="0"/>
    <s v="290 RUE FEDOR DOSTOIEVSKI"/>
    <s v="LES LUCIOLES 1"/>
    <s v="-"/>
    <x v="41"/>
    <s v="VALBONNE"/>
    <s v="7.058559"/>
    <s v="43.614231"/>
    <s v="Centre ville"/>
    <d v="2025-01-01T00:00:00"/>
    <d v="2025-01-01T00:00:00"/>
    <s v="Franchisee"/>
    <s v="FERRE HOTELS"/>
    <s v="Marion BOROT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399"/>
    <s v="IBIS STYLES AVIGNON SUD"/>
    <x v="2"/>
    <s v="10/12/1973"/>
    <n v="121"/>
    <x v="1"/>
    <s v="2968 AVENUE DE L'AMANDIER"/>
    <s v="-"/>
    <s v="-"/>
    <x v="42"/>
    <s v="AVIGNON"/>
    <s v="4.844466"/>
    <s v="43.926057"/>
    <s v="Centre ville"/>
    <d v="2025-01-01T00:00:00"/>
    <d v="2025-01-01T00:00:00"/>
    <s v="Franchisee"/>
    <s v="HOLDING JCAP - AURELIE PANATTONI"/>
    <s v="Jean-Claude FOUCHET"/>
    <x v="0"/>
    <n v="1.5"/>
    <n v="0.7"/>
    <s v="January"/>
    <n v="0.6"/>
    <s v="August"/>
    <n v="0.8"/>
    <x v="0"/>
    <x v="0"/>
    <s v="No"/>
    <s v="Yes"/>
    <n v="8"/>
    <n v="1"/>
    <n v="0"/>
    <n v="1"/>
    <n v="0.5"/>
    <n v="0.5"/>
    <n v="0.4"/>
    <n v="0.6"/>
  </r>
  <r>
    <s v="H0400"/>
    <s v="IBIS STYLES BESANCON"/>
    <x v="2"/>
    <s v="01/10/1974"/>
    <n v="103"/>
    <x v="1"/>
    <s v="22 BIS RUE DE TREY"/>
    <s v="-"/>
    <s v="-"/>
    <x v="43"/>
    <s v="BESANCON"/>
    <s v="6.020859"/>
    <s v="47.2546"/>
    <s v="Centre ville"/>
    <d v="2025-01-01T00:00:00"/>
    <d v="2025-01-01T00:00:00"/>
    <s v="Franchisee"/>
    <s v="SOMNOO"/>
    <s v="Eric MARAIS"/>
    <x v="1"/>
    <n v="1.5"/>
    <n v="0.7"/>
    <s v="January"/>
    <n v="0.6"/>
    <s v="August"/>
    <n v="0.8"/>
    <x v="0"/>
    <x v="0"/>
    <s v="No"/>
    <s v="Yes"/>
    <n v="8"/>
    <n v="1"/>
    <n v="0"/>
    <n v="1"/>
    <n v="0.5"/>
    <n v="0.5"/>
    <n v="0.4"/>
    <n v="0.6"/>
  </r>
  <r>
    <s v="H0402"/>
    <s v="NOVOTEL BORDEAUX MERIGNAC"/>
    <x v="3"/>
    <s v="16/09/1973"/>
    <n v="137"/>
    <x v="1"/>
    <s v="80 AVENUE J F KENNEDY"/>
    <s v="-"/>
    <s v="-"/>
    <x v="44"/>
    <s v="MERIGNAC"/>
    <s v="-0.683078"/>
    <s v="44.835682"/>
    <s v="Centre ville"/>
    <d v="2025-01-01T00:00:00"/>
    <d v="2025-01-01T00:00:00"/>
    <s v="Franchisee"/>
    <s v="GRAPE HOSPITALITY"/>
    <s v="Jerome LANTERNIER"/>
    <x v="0"/>
    <n v="1.5"/>
    <n v="0.7"/>
    <s v="January"/>
    <n v="0.6"/>
    <s v="August"/>
    <n v="0.8"/>
    <x v="0"/>
    <x v="0"/>
    <s v="No"/>
    <s v="Yes"/>
    <n v="4"/>
    <n v="1"/>
    <n v="0"/>
    <n v="1"/>
    <n v="0.5"/>
    <n v="0.5"/>
    <n v="0.4"/>
    <n v="0.6"/>
  </r>
  <r>
    <s v="H0403"/>
    <s v="NOVOTEL BORDEAUX LAC"/>
    <x v="3"/>
    <s v="01/02/1971"/>
    <n v="175"/>
    <x v="3"/>
    <s v="AVENUE JEAN GABRIEL DOMERGUE"/>
    <s v="-"/>
    <s v="-"/>
    <x v="12"/>
    <s v="BORDEAUX"/>
    <s v="-0.565941"/>
    <s v="44.890755"/>
    <s v="Centre ville"/>
    <d v="2025-01-01T00:00:00"/>
    <d v="2025-01-01T00:00:00"/>
    <s v="Franchisee"/>
    <s v="PA-HOLDING"/>
    <s v="Jerome LANTERNIER"/>
    <x v="0"/>
    <n v="1.5"/>
    <n v="0.7"/>
    <s v="January"/>
    <n v="0.6"/>
    <s v="August"/>
    <n v="0.8"/>
    <x v="0"/>
    <x v="0"/>
    <s v="No"/>
    <s v="Yes"/>
    <n v="9"/>
    <n v="1"/>
    <n v="0"/>
    <n v="1"/>
    <n v="0.5"/>
    <n v="0.5"/>
    <n v="0.4"/>
    <n v="0.6"/>
  </r>
  <r>
    <s v="H0405"/>
    <s v="NOVOTEL CAEN COTE DE NACRE"/>
    <x v="3"/>
    <s v="01/05/1974"/>
    <n v="126"/>
    <x v="1"/>
    <s v="155 RUE DE LA DÉLIVRANDE"/>
    <s v="-"/>
    <s v="-"/>
    <x v="45"/>
    <s v="CAEN"/>
    <s v="-0.360265"/>
    <s v="49.200576"/>
    <s v="Centre ville"/>
    <d v="2025-01-01T00:00:00"/>
    <d v="2025-01-01T00:00:00"/>
    <s v="Franchisee"/>
    <s v="FAMILLE BESNEVILLE-ROPARS"/>
    <s v="Ronan LE MEUR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407"/>
    <s v="NOVOTEL NANCY"/>
    <x v="3"/>
    <s v="01/05/1974"/>
    <n v="119"/>
    <x v="1"/>
    <s v="2 RUE DU VAIR"/>
    <s v="-"/>
    <s v="-"/>
    <x v="46"/>
    <s v="LAXOU"/>
    <s v="6.124416"/>
    <s v="48.695409"/>
    <s v="Centre ville"/>
    <d v="2025-01-01T00:00:00"/>
    <d v="2025-01-01T00:00:00"/>
    <s v="Managed"/>
    <s v="GROUPE VENTOS"/>
    <s v="Olivier BRISSARD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408"/>
    <s v="IBIS STYLES NANCY SUD"/>
    <x v="2"/>
    <s v="19/04/1972"/>
    <n v="86"/>
    <x v="0"/>
    <s v="8 ALLÉE DE LA  GENELIÈRE"/>
    <s v="RN 57"/>
    <s v="-"/>
    <x v="47"/>
    <s v="HOUDEMONT"/>
    <s v="6.183448"/>
    <s v="48.638531"/>
    <s v="Centre ville"/>
    <d v="2025-01-01T00:00:00"/>
    <d v="2025-01-01T00:00:00"/>
    <s v="Franchisee"/>
    <s v="FAMILLE GIRARD"/>
    <s v="Christophe RUQUEBOEUCHE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410"/>
    <s v="NOVOTEL NANTES CARQUEFOU"/>
    <x v="3"/>
    <s v="01/10/1973"/>
    <n v="92"/>
    <x v="0"/>
    <s v="4 ALLEE DES SAPINS"/>
    <s v="PA ANTARÈS BELLE ETOILE"/>
    <s v="-"/>
    <x v="48"/>
    <s v="CARQUEFOU"/>
    <s v="-1.455375"/>
    <s v="47.283785"/>
    <s v="Centre ville"/>
    <d v="2025-01-01T00:00:00"/>
    <d v="2025-01-01T00:00:00"/>
    <s v="Franchisee"/>
    <s v="ARNAUD MOULET"/>
    <s v="Jean-Luc RABAULT"/>
    <x v="0"/>
    <n v="1.5"/>
    <n v="0.7"/>
    <s v="January"/>
    <n v="0.6"/>
    <s v="August"/>
    <n v="0.8"/>
    <x v="0"/>
    <x v="0"/>
    <s v="No"/>
    <s v="Yes"/>
    <n v="10"/>
    <s v="-"/>
    <n v="0"/>
    <n v="1"/>
    <n v="0.5"/>
    <n v="0.5"/>
    <n v="0.4"/>
    <n v="0.6"/>
  </r>
  <r>
    <s v="H0412"/>
    <s v="NOVOTEL NARBONNE SUD"/>
    <x v="3"/>
    <s v="01/05/1975"/>
    <n v="93"/>
    <x v="0"/>
    <s v="130 RUE DE L'HOTELLERIE"/>
    <s v="QUARTIER PLAISANCE"/>
    <s v="-"/>
    <x v="49"/>
    <s v="NARBONNE"/>
    <s v="2.986479"/>
    <s v="43.168675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n v="7"/>
    <n v="1"/>
    <n v="0"/>
    <n v="1"/>
    <n v="0.5"/>
    <n v="0.5"/>
    <n v="0.4"/>
    <n v="0.6"/>
  </r>
  <r>
    <s v="H0413"/>
    <s v="NOVOTEL CHARTRES"/>
    <x v="3"/>
    <s v="01/06/1977"/>
    <n v="112"/>
    <x v="1"/>
    <s v="5 TER AVENUE MARCEL PROUST"/>
    <s v="-"/>
    <s v="-"/>
    <x v="50"/>
    <s v="CHARTRES"/>
    <s v="1.530401"/>
    <s v="48.452821"/>
    <s v="Centre ville"/>
    <d v="2025-01-01T00:00:00"/>
    <d v="2025-01-01T00:00:00"/>
    <s v="Franchisee"/>
    <s v="ATYPIO"/>
    <s v="Pierre LAGRANGE"/>
    <x v="1"/>
    <n v="1.5"/>
    <n v="0.7"/>
    <s v="January"/>
    <n v="0.6"/>
    <s v="August"/>
    <n v="0.8"/>
    <x v="0"/>
    <x v="0"/>
    <s v="No"/>
    <s v="Yes"/>
    <n v="7"/>
    <n v="1"/>
    <n v="0"/>
    <n v="1"/>
    <n v="0.5"/>
    <n v="0.5"/>
    <n v="0.4"/>
    <n v="0.6"/>
  </r>
  <r>
    <s v="H0414"/>
    <s v="NOVOTEL NICE AEROPORT CAP 3000"/>
    <x v="3"/>
    <s v="01/06/1973"/>
    <n v="103"/>
    <x v="1"/>
    <s v="40 AVENUE DE VERDUN"/>
    <s v="-"/>
    <s v="-"/>
    <x v="51"/>
    <s v="SAINT LAURENT DU VAR"/>
    <s v="7.194983"/>
    <s v="43.658729"/>
    <s v="Centre ville"/>
    <d v="2025-01-01T00:00:00"/>
    <d v="2025-01-01T00:00:00"/>
    <s v="Franchisee"/>
    <s v="ATYPIO"/>
    <s v="Marion BOROT"/>
    <x v="1"/>
    <n v="1.5"/>
    <n v="0.7"/>
    <s v="January"/>
    <n v="0.6"/>
    <s v="August"/>
    <n v="0.8"/>
    <x v="0"/>
    <x v="0"/>
    <s v="No"/>
    <s v="Yes"/>
    <n v="9"/>
    <s v="-"/>
    <n v="0"/>
    <n v="1"/>
    <n v="0.5"/>
    <n v="0.5"/>
    <n v="0.4"/>
    <n v="0.6"/>
  </r>
  <r>
    <s v="H0416"/>
    <s v="IBIS STYLES COLMAR NORD"/>
    <x v="2"/>
    <s v="01/05/1968"/>
    <n v="68"/>
    <x v="0"/>
    <s v="49 ROUTE DE STRASBOURG"/>
    <s v="-"/>
    <s v="-"/>
    <x v="52"/>
    <s v="COLMAR"/>
    <s v="7.362556"/>
    <s v="48.110469"/>
    <s v="Centre ville"/>
    <d v="2025-01-01T00:00:00"/>
    <d v="2025-01-01T00:00:00"/>
    <s v="Franchisee"/>
    <s v="GROUPE HELMLINGER"/>
    <s v="Eric MARAIS"/>
    <x v="0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0418"/>
    <s v="NOVOTEL DIJON SUD"/>
    <x v="3"/>
    <s v="01/06/1971"/>
    <n v="120"/>
    <x v="1"/>
    <s v="LES PORTES DU SUD"/>
    <s v="11 ROUTE DE BEAUNE"/>
    <s v="-"/>
    <x v="53"/>
    <s v="MARSANNAY LA COTE"/>
    <s v="5.007395"/>
    <s v="47.279338"/>
    <s v="Centre ville"/>
    <d v="2025-01-01T00:00:00"/>
    <d v="2025-01-01T00:00:00"/>
    <s v="Franchisee"/>
    <s v="GRAPE HOSPITALITY"/>
    <s v="Eric MARAIS"/>
    <x v="0"/>
    <n v="1.5"/>
    <n v="0.7"/>
    <s v="January"/>
    <n v="0.6"/>
    <s v="August"/>
    <n v="0.8"/>
    <x v="0"/>
    <x v="0"/>
    <s v="No"/>
    <s v="Yes"/>
    <n v="7"/>
    <n v="1"/>
    <n v="0"/>
    <n v="1"/>
    <n v="0.5"/>
    <n v="0.5"/>
    <n v="0.4"/>
    <n v="0.6"/>
  </r>
  <r>
    <s v="H0419"/>
    <s v="NOVOTEL ORLEANS LA SOURCE"/>
    <x v="3"/>
    <s v="01/12/1973"/>
    <n v="121"/>
    <x v="1"/>
    <s v="2 RUE HONORÉ DE BALZAC"/>
    <s v="ORLEANS CEDEX"/>
    <s v="-"/>
    <x v="54"/>
    <s v="ORLEANS"/>
    <s v="1.928791"/>
    <s v="47.814475"/>
    <s v="Centre ville"/>
    <d v="2025-01-01T00:00:00"/>
    <d v="2025-01-01T00:00:00"/>
    <s v="Franchisee"/>
    <s v="GRAPE HOSPITALITY"/>
    <s v="Bruno COQUAZ"/>
    <x v="0"/>
    <n v="1.5"/>
    <n v="0.7"/>
    <s v="January"/>
    <n v="0.6"/>
    <s v="August"/>
    <n v="0.8"/>
    <x v="0"/>
    <x v="0"/>
    <s v="No"/>
    <s v="Yes"/>
    <n v="10"/>
    <s v="-"/>
    <n v="0"/>
    <n v="1"/>
    <n v="0.5"/>
    <n v="0.5"/>
    <n v="0.4"/>
    <n v="0.6"/>
  </r>
  <r>
    <s v="H0421"/>
    <s v="NOVOTEL PAU PYRENEES"/>
    <x v="3"/>
    <s v="01/05/1972"/>
    <n v="87"/>
    <x v="0"/>
    <s v="AVENUE ANDRÉ-MARIE AMPÈRE"/>
    <s v="ROUTE DE BAYONNE"/>
    <s v="-"/>
    <x v="55"/>
    <s v="LESCAR"/>
    <s v="-0.431836"/>
    <s v="43.318028"/>
    <s v="Centre ville"/>
    <d v="2025-01-01T00:00:00"/>
    <d v="2025-01-01T00:00:00"/>
    <s v="Franchisee"/>
    <s v="HOTELINA"/>
    <s v="Jerome LANTERNIER"/>
    <x v="0"/>
    <n v="1.5"/>
    <n v="0.7"/>
    <s v="January"/>
    <n v="0.6"/>
    <s v="August"/>
    <n v="0.8"/>
    <x v="0"/>
    <x v="0"/>
    <s v="No"/>
    <s v="Yes"/>
    <n v="2"/>
    <s v="-"/>
    <n v="0"/>
    <n v="1"/>
    <n v="0.5"/>
    <n v="0.5"/>
    <n v="0.4"/>
    <n v="0.6"/>
  </r>
  <r>
    <s v="H0423"/>
    <s v="NOVOTEL GRENOBLE NORD"/>
    <x v="3"/>
    <s v="01/02/1975"/>
    <n v="114"/>
    <x v="1"/>
    <s v="1625 ROUTE DE VEUREY"/>
    <s v="-"/>
    <s v="-"/>
    <x v="56"/>
    <s v="VOREPPE"/>
    <s v="5.628952"/>
    <s v="45.272741"/>
    <s v="Centre ville"/>
    <d v="2025-01-01T00:00:00"/>
    <d v="2025-01-01T00:00:00"/>
    <s v="Franchisee"/>
    <s v="GRAPE HOSPITALITY"/>
    <s v="Bello DIALLO"/>
    <x v="0"/>
    <n v="1.5"/>
    <n v="0.7"/>
    <s v="January"/>
    <n v="0.6"/>
    <s v="August"/>
    <n v="0.8"/>
    <x v="0"/>
    <x v="0"/>
    <s v="No"/>
    <s v="Yes"/>
    <n v="8"/>
    <n v="1"/>
    <n v="0"/>
    <n v="1"/>
    <n v="0.5"/>
    <n v="0.5"/>
    <n v="0.4"/>
    <n v="0.6"/>
  </r>
  <r>
    <s v="H0424"/>
    <s v="NOVOTEL PERPIGNAN RIVESALTES"/>
    <x v="3"/>
    <s v="01/01/1974"/>
    <n v="57"/>
    <x v="0"/>
    <s v="7 RUE ALFRED SAUVY"/>
    <s v="ROUTE NATIONALE 9 KM 9"/>
    <s v="-"/>
    <x v="57"/>
    <s v="RIVESALTES"/>
    <s v="2.904049"/>
    <s v="42.783465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0426"/>
    <s v="NOVOTEL LENS NOYELLES"/>
    <x v="3"/>
    <s v="01/03/1973"/>
    <n v="81"/>
    <x v="0"/>
    <s v="CENTRE COMMERCIAL"/>
    <s v="-"/>
    <s v="-"/>
    <x v="58"/>
    <s v="NOYELLES GODAULT"/>
    <s v="2.981278"/>
    <s v="50.413266"/>
    <s v="Centre ville"/>
    <d v="2025-01-01T00:00:00"/>
    <d v="2025-01-01T00:00:00"/>
    <s v="Franchisee"/>
    <s v="FAMILLE BROUILLARD"/>
    <s v="Muriel JACQUELINE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0427"/>
    <s v="NOVOTEL LILLE AEROPORT"/>
    <x v="3"/>
    <s v="01/06/1967"/>
    <n v="90"/>
    <x v="0"/>
    <s v="55 ROUTE DE DOUAI"/>
    <s v="-"/>
    <s v="-"/>
    <x v="59"/>
    <s v="LESQUIN"/>
    <s v="3.088417"/>
    <s v="50.583764"/>
    <s v="Centre ville"/>
    <d v="2025-01-01T00:00:00"/>
    <d v="2025-01-01T00:00:00"/>
    <s v="Franchisee"/>
    <s v="KER HOSPITALITY"/>
    <s v="Muriel JACQUELINE"/>
    <x v="0"/>
    <n v="1.5"/>
    <n v="0.7"/>
    <s v="January"/>
    <n v="0.6"/>
    <s v="August"/>
    <n v="0.8"/>
    <x v="0"/>
    <x v="0"/>
    <s v="No"/>
    <s v="Yes"/>
    <n v="8"/>
    <n v="1"/>
    <n v="0"/>
    <n v="1"/>
    <n v="0.5"/>
    <n v="0.5"/>
    <n v="0.4"/>
    <n v="0.6"/>
  </r>
  <r>
    <s v="H0428"/>
    <s v="NOVOTEL REIMS TINQUEUX"/>
    <x v="3"/>
    <s v="15/08/1970"/>
    <n v="127"/>
    <x v="1"/>
    <s v="ROUTE DE SOISSONS"/>
    <s v="TINQUEUX"/>
    <s v="-"/>
    <x v="60"/>
    <s v="TINQUEUX"/>
    <s v="3.977426"/>
    <s v="49.252785"/>
    <s v="Centre ville"/>
    <d v="2025-01-01T00:00:00"/>
    <d v="2025-01-01T00:00:00"/>
    <s v="Franchisee"/>
    <s v="ARNAUD FAYET"/>
    <s v="Benoit DUCHE"/>
    <x v="0"/>
    <n v="1.5"/>
    <n v="0.7"/>
    <s v="January"/>
    <n v="0.6"/>
    <s v="August"/>
    <n v="0.8"/>
    <x v="0"/>
    <x v="0"/>
    <s v="No"/>
    <s v="Yes"/>
    <n v="10"/>
    <s v="-"/>
    <n v="0"/>
    <n v="1"/>
    <n v="0.5"/>
    <n v="0.5"/>
    <n v="0.4"/>
    <n v="0.6"/>
  </r>
  <r>
    <s v="H0430"/>
    <s v="NOVOTEL RENNES ALMA"/>
    <x v="3"/>
    <s v="01/03/1971"/>
    <n v="99"/>
    <x v="0"/>
    <s v="48 AVENUE DU CANADA"/>
    <s v="-"/>
    <s v="-"/>
    <x v="61"/>
    <s v="RENNES"/>
    <s v="-1.682625"/>
    <s v="48.082036"/>
    <s v="Centre ville"/>
    <d v="2025-01-01T00:00:00"/>
    <d v="2025-01-01T00:00:00"/>
    <s v="Franchisee"/>
    <s v="GROUPE LE DUFF"/>
    <s v="Jean-Francois STEBLER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0431"/>
    <s v="NOVOTEL LIMOGES LE LAC"/>
    <x v="3"/>
    <s v="01/09/1975"/>
    <n v="90"/>
    <x v="0"/>
    <s v="2 AVENUE D'UZURAT"/>
    <s v="PARC D'ACTIVITÉS NORD JAUNE"/>
    <s v="-"/>
    <x v="62"/>
    <s v="LIMOGES"/>
    <s v="1.270965"/>
    <s v="45.867428"/>
    <s v="Centre ville"/>
    <d v="2025-01-01T00:00:00"/>
    <d v="2025-01-01T00:00:00"/>
    <s v="Franchisee"/>
    <s v="CELEBRITY HOTELS ET RESTAURANTS"/>
    <s v="Dominique CHEVANCE"/>
    <x v="0"/>
    <n v="1.5"/>
    <n v="0.7"/>
    <s v="January"/>
    <n v="0.6"/>
    <s v="August"/>
    <n v="0.8"/>
    <x v="0"/>
    <x v="0"/>
    <s v="No"/>
    <s v="Yes"/>
    <n v="5"/>
    <n v="1"/>
    <n v="0"/>
    <n v="1"/>
    <n v="0.5"/>
    <n v="0.5"/>
    <n v="0.4"/>
    <n v="0.6"/>
  </r>
  <r>
    <s v="H0432"/>
    <s v="NOVOTEL ROUEN SUD"/>
    <x v="3"/>
    <s v="01/07/1973"/>
    <n v="132"/>
    <x v="1"/>
    <s v="ANGLE AVENUE DE L'UNIVERSITÉ"/>
    <s v="RUE DE LA MARE SANSOURE"/>
    <s v="-"/>
    <x v="63"/>
    <s v="SAINT ETIENNE DU ROUVRAY"/>
    <s v="1.059331"/>
    <s v="49.389931"/>
    <s v="Centre ville"/>
    <d v="2025-01-01T00:00:00"/>
    <d v="2025-01-01T00:00:00"/>
    <s v="Franchisee"/>
    <s v="FAMILLE BROUILLARD"/>
    <s v="Ronan LE MEUR"/>
    <x v="1"/>
    <n v="1.5"/>
    <n v="0.7"/>
    <s v="January"/>
    <n v="0.6"/>
    <s v="August"/>
    <n v="0.8"/>
    <x v="0"/>
    <x v="0"/>
    <s v="No"/>
    <s v="Yes"/>
    <n v="9"/>
    <n v="1"/>
    <n v="0"/>
    <n v="1"/>
    <n v="0.5"/>
    <n v="0.5"/>
    <n v="0.4"/>
    <n v="0.6"/>
  </r>
  <r>
    <s v="H0433"/>
    <s v="NOVOTEL SAINT AVOLD"/>
    <x v="3"/>
    <s v="01/03/1974"/>
    <n v="61"/>
    <x v="0"/>
    <s v="AVENUE DE FAYETTEVILLE"/>
    <s v="RN 33"/>
    <s v="-"/>
    <x v="64"/>
    <s v="SAINT AVOLD"/>
    <s v="6.711644"/>
    <s v="49.127972"/>
    <s v="Centre ville"/>
    <d v="2025-01-01T00:00:00"/>
    <d v="2025-01-01T00:00:00"/>
    <s v="Franchisee"/>
    <s v="GRAPE HOSPITALITY"/>
    <s v="Christophe RUQUEBOEUCHE"/>
    <x v="1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0434"/>
    <s v="IBIS STYLES LORIENT"/>
    <x v="2"/>
    <s v="01/06/1974"/>
    <n v="59"/>
    <x v="0"/>
    <s v="758 RUE PIERRE LANDAIS"/>
    <s v="CTRE HOTELIER KERPONT BELLEVUE"/>
    <s v="-"/>
    <x v="65"/>
    <s v="CAUDAN"/>
    <s v="-3.330149"/>
    <s v="47.787407"/>
    <s v="Centre ville"/>
    <d v="2025-01-01T00:00:00"/>
    <d v="2025-01-01T00:00:00"/>
    <s v="Franchisee"/>
    <s v="BERTRAND HESNARD"/>
    <s v="Jean-Luc RABAULT"/>
    <x v="0"/>
    <n v="1.5"/>
    <n v="0.7"/>
    <s v="January"/>
    <n v="0.6"/>
    <s v="August"/>
    <n v="0.8"/>
    <x v="0"/>
    <x v="0"/>
    <s v="No"/>
    <s v="Yes"/>
    <n v="9"/>
    <n v="1"/>
    <n v="0"/>
    <n v="1"/>
    <n v="0.5"/>
    <n v="0.5"/>
    <n v="0.4"/>
    <n v="0.6"/>
  </r>
  <r>
    <s v="H0436"/>
    <s v="NOVOTEL LYON BRON"/>
    <x v="3"/>
    <s v="01/09/1971"/>
    <n v="112"/>
    <x v="1"/>
    <s v="260 AVENUE JEAN MONNET"/>
    <s v="-"/>
    <s v="-"/>
    <x v="66"/>
    <s v="BRON"/>
    <s v="4.929742"/>
    <s v="45.72512"/>
    <s v="Centre ville"/>
    <d v="2025-01-01T00:00:00"/>
    <d v="2025-01-01T00:00:00"/>
    <s v="Franchisee"/>
    <s v="GRAPE HOSPITALITY"/>
    <s v="Katia GARNIER"/>
    <x v="0"/>
    <n v="1.5"/>
    <n v="0.7"/>
    <s v="January"/>
    <n v="0.6"/>
    <s v="August"/>
    <n v="0.8"/>
    <x v="0"/>
    <x v="0"/>
    <s v="No"/>
    <s v="Yes"/>
    <n v="15"/>
    <n v="1"/>
    <n v="0"/>
    <n v="1"/>
    <n v="0.5"/>
    <n v="0.5"/>
    <n v="0.4"/>
    <n v="0.6"/>
  </r>
  <r>
    <s v="H0438"/>
    <s v="NOVOTEL MACON NORD"/>
    <x v="3"/>
    <s v="01/06/1973"/>
    <n v="114"/>
    <x v="1"/>
    <s v="420 ROUTE DE SAINT-MARTIN"/>
    <s v="-"/>
    <s v="-"/>
    <x v="67"/>
    <s v="MACON"/>
    <s v="4.842243"/>
    <s v="46.36623"/>
    <s v="Centre ville"/>
    <d v="2025-01-01T00:00:00"/>
    <d v="2025-01-01T00:00:00"/>
    <s v="Franchisee"/>
    <s v="GRAPE HOSPITALITY"/>
    <s v="Katia GARNIER"/>
    <x v="1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0439"/>
    <s v="NOVOTEL STRASBOURG CTR HALLES"/>
    <x v="3"/>
    <s v="01/05/1978"/>
    <n v="98"/>
    <x v="0"/>
    <s v="4 QUAI KLEBER"/>
    <s v="-"/>
    <s v="-"/>
    <x v="68"/>
    <s v="STRASBOURG"/>
    <e v="#N/A"/>
    <e v="#N/A"/>
    <s v="Centre ville"/>
    <d v="2025-01-01T00:00:00"/>
    <d v="2025-01-01T00:00:00"/>
    <s v="Franchisee"/>
    <s v="GROUPE COVIVIO"/>
    <s v="Christophe RUQUEBOEUCH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440"/>
    <s v="NOVOTEL LE MANS"/>
    <x v="3"/>
    <s v="01/04/1976"/>
    <n v="94"/>
    <x v="0"/>
    <s v="BORDS DE L'HUISNE"/>
    <s v="BOULEVARD ROBERT SCHUMAN"/>
    <s v="-"/>
    <x v="4"/>
    <s v="LE MANS"/>
    <s v="0.231485"/>
    <s v="47.990715"/>
    <s v="Centre ville"/>
    <d v="2025-01-01T00:00:00"/>
    <d v="2025-01-01T00:00:00"/>
    <s v="Franchisee"/>
    <s v="GRAPE HOSPITALITY"/>
    <s v="Bruno COQUAZ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0442"/>
    <s v="IBIS STYLES MARSEILLE AEROPORT"/>
    <x v="2"/>
    <s v="01/12/1969"/>
    <n v="117"/>
    <x v="1"/>
    <s v="24 RUE DE MADRID"/>
    <s v="ZI LES ESTROUBLANS"/>
    <s v="-"/>
    <x v="69"/>
    <s v="VITROLLES"/>
    <s v="5.257248"/>
    <s v="43.426926"/>
    <s v="Centre ville"/>
    <d v="2025-01-01T00:00:00"/>
    <d v="2025-01-01T00:00:00"/>
    <s v="Franchisee"/>
    <s v="SOMNOO"/>
    <s v="Alexandra LAUNAY"/>
    <x v="0"/>
    <n v="1.5"/>
    <n v="0.7"/>
    <s v="January"/>
    <n v="0.6"/>
    <s v="August"/>
    <n v="0.8"/>
    <x v="0"/>
    <x v="0"/>
    <s v="No"/>
    <s v="Yes"/>
    <n v="12"/>
    <s v="-"/>
    <n v="0"/>
    <n v="1"/>
    <n v="0.5"/>
    <n v="0.5"/>
    <n v="0.4"/>
    <n v="0.6"/>
  </r>
  <r>
    <s v="H0443"/>
    <s v="IBIS STYLES TOULON LA SEYNE"/>
    <x v="2"/>
    <s v="01/07/1979"/>
    <n v="86"/>
    <x v="0"/>
    <s v="80 CHEMIN DE LA CAPELLANE"/>
    <s v="ADRESSE GPS : SIX FOURS LES PLAGES"/>
    <s v="-"/>
    <x v="70"/>
    <s v="LA SEYNE SUR MER"/>
    <s v="5.850061"/>
    <s v="43.121036"/>
    <s v="Centre ville"/>
    <d v="2025-01-01T00:00:00"/>
    <d v="2025-01-01T00:00:00"/>
    <s v="Franchisee"/>
    <s v="LAURENCE DONAT"/>
    <s v="Marion BOROT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0444"/>
    <s v="NOVOTEL MARSEILLE EST"/>
    <x v="3"/>
    <s v="05/06/1975"/>
    <n v="77"/>
    <x v="0"/>
    <s v="184 AVENUE DE SAINT MENET"/>
    <s v="-"/>
    <s v="-"/>
    <x v="71"/>
    <s v="MARSEILLE"/>
    <s v="5.510384"/>
    <s v="43.287101"/>
    <s v="Centre ville"/>
    <d v="2025-01-01T00:00:00"/>
    <d v="2025-01-01T00:00:00"/>
    <s v="Managed"/>
    <s v="ACCORINVEST FRANCE"/>
    <s v="Yoan SAUTOU"/>
    <x v="1"/>
    <n v="1.5"/>
    <n v="0.7"/>
    <s v="January"/>
    <n v="0.6"/>
    <s v="August"/>
    <n v="0.8"/>
    <x v="0"/>
    <x v="0"/>
    <s v="No"/>
    <s v="Yes"/>
    <s v="-"/>
    <s v="-"/>
    <n v="0"/>
    <n v="1"/>
    <n v="0.5"/>
    <n v="0.5"/>
    <n v="0.4"/>
    <n v="0.6"/>
  </r>
  <r>
    <s v="H0445"/>
    <s v="NOVOTEL TOULOUSE AEROPORT"/>
    <x v="3"/>
    <s v="01/01/1973"/>
    <n v="123"/>
    <x v="1"/>
    <s v="23 IMPASSE DE MAUBEC"/>
    <s v="-"/>
    <s v="-"/>
    <x v="72"/>
    <s v="TOULOUSE"/>
    <s v="1.39897"/>
    <s v="43.605646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0446"/>
    <s v="NOVOTEL METZ HAUCONCOURT"/>
    <x v="3"/>
    <s v="01/03/1970"/>
    <n v="132"/>
    <x v="1"/>
    <s v="16 ROUTE DE MAIZIERES LES METZ"/>
    <s v="-"/>
    <s v="-"/>
    <x v="73"/>
    <s v="HAUCONCOURT"/>
    <s v="6.171532"/>
    <s v="49.217668"/>
    <s v="Centre ville"/>
    <d v="2025-01-01T00:00:00"/>
    <d v="2025-01-01T00:00:00"/>
    <s v="Franchisee"/>
    <s v="GRAPE HOSPITALITY"/>
    <s v="Christophe RUQUEBOEUCHE"/>
    <x v="0"/>
    <n v="1.5"/>
    <n v="0.7"/>
    <s v="January"/>
    <n v="0.6"/>
    <s v="August"/>
    <n v="0.8"/>
    <x v="0"/>
    <x v="0"/>
    <s v="No"/>
    <s v="Yes"/>
    <n v="7"/>
    <s v="-"/>
    <n v="0"/>
    <n v="1"/>
    <n v="0.5"/>
    <n v="0.5"/>
    <n v="0.4"/>
    <n v="0.6"/>
  </r>
  <r>
    <s v="H0449"/>
    <s v="NOVOTEL THALASSA LE TOUQUET"/>
    <x v="3"/>
    <s v="01/03/1977"/>
    <n v="145"/>
    <x v="1"/>
    <s v="FRONT DE MER"/>
    <s v="AVENUE LOUISON BOBET"/>
    <s v="CS 40214"/>
    <x v="74"/>
    <s v="LE TOUQUET"/>
    <e v="#N/A"/>
    <e v="#N/A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2"/>
    <x v="2"/>
    <s v="No"/>
    <s v="Yes"/>
    <n v="9"/>
    <n v="2"/>
    <n v="1"/>
    <n v="1"/>
    <n v="0.5"/>
    <n v="0.5"/>
    <n v="0.4"/>
    <n v="0.6"/>
  </r>
  <r>
    <s v="H0450"/>
    <s v="NOVOTEL MONTPELLIER"/>
    <x v="3"/>
    <s v="01/12/1981"/>
    <n v="162"/>
    <x v="3"/>
    <s v="125 BIS AVENUE DE PALAVAS"/>
    <s v="-"/>
    <s v="-"/>
    <x v="75"/>
    <s v="MONTPELLIER"/>
    <s v="3.8924"/>
    <s v="43.589971"/>
    <s v="Centre ville"/>
    <d v="2025-01-01T00:00:00"/>
    <d v="2025-01-01T00:00:00"/>
    <s v="Franchisee"/>
    <s v="FAMILLE FARINES"/>
    <s v="Jean-Claude FOUCHET"/>
    <x v="0"/>
    <n v="1.5"/>
    <n v="0.7"/>
    <s v="January"/>
    <n v="0.6"/>
    <s v="August"/>
    <n v="0.8"/>
    <x v="0"/>
    <x v="0"/>
    <s v="No"/>
    <s v="Yes"/>
    <n v="15"/>
    <n v="1"/>
    <n v="0"/>
    <n v="1"/>
    <n v="0.5"/>
    <n v="0.5"/>
    <n v="0.4"/>
    <n v="0.6"/>
  </r>
  <r>
    <s v="H0452"/>
    <s v="NOVOTEL MULHOUSE BALE FRIBOURG"/>
    <x v="3"/>
    <s v="01/01/1972"/>
    <n v="77"/>
    <x v="0"/>
    <s v="RUE DES CÉVENNES"/>
    <s v="-"/>
    <s v="-"/>
    <x v="76"/>
    <s v="SAUSHEIM"/>
    <s v="7.387598"/>
    <s v="47.780174"/>
    <s v="Centre ville"/>
    <d v="2025-01-01T00:00:00"/>
    <d v="2025-01-01T00:00:00"/>
    <s v="Franchisee"/>
    <s v="GRAPE HOSPITALITY"/>
    <s v="Eric MARAIS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0453"/>
    <s v="IBIS STYLES TOURS SUD"/>
    <x v="2"/>
    <s v="01/11/1978"/>
    <n v="81"/>
    <x v="0"/>
    <s v="LA VRILLONNERIE RN10"/>
    <s v="18 RUE MICHAËL FARADAY"/>
    <s v="-"/>
    <x v="77"/>
    <s v="CHAMBRAY LES TOURS"/>
    <s v="0.698803"/>
    <s v="47.335727"/>
    <s v="Centre ville"/>
    <d v="2025-01-01T00:00:00"/>
    <d v="2025-01-01T00:00:00"/>
    <s v="Franchisee"/>
    <s v="JEAN-LUC MOTOT"/>
    <s v="Bruno COQUAZ"/>
    <x v="0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0455"/>
    <s v="NOVOTEL VALENCE SUD"/>
    <x v="3"/>
    <s v="01/01/1973"/>
    <n v="108"/>
    <x v="1"/>
    <s v="217 AVENUE DE PROVENCE"/>
    <s v="-"/>
    <s v="-"/>
    <x v="78"/>
    <s v="VALENCE (FR)"/>
    <s v="4.877552"/>
    <s v="44.918417"/>
    <s v="Centre ville"/>
    <d v="2025-01-01T00:00:00"/>
    <d v="2025-01-01T00:00:00"/>
    <s v="Franchisee"/>
    <s v="LAURENCE DONAT"/>
    <s v="Bello DIALLO"/>
    <x v="0"/>
    <n v="1.5"/>
    <n v="0.7"/>
    <s v="January"/>
    <n v="0.6"/>
    <s v="August"/>
    <n v="0.8"/>
    <x v="0"/>
    <x v="0"/>
    <s v="No"/>
    <s v="Yes"/>
    <n v="6"/>
    <n v="1"/>
    <n v="0"/>
    <n v="1"/>
    <n v="0.5"/>
    <n v="0.5"/>
    <n v="0.4"/>
    <n v="0.6"/>
  </r>
  <r>
    <s v="H0456"/>
    <s v="NOVOTEL VALENCIENNES"/>
    <x v="3"/>
    <s v="01/09/1973"/>
    <n v="80"/>
    <x v="0"/>
    <s v="RUE DE MAUGRE"/>
    <s v="PARC D'ACTIVITES L'AERODROME"/>
    <s v="-"/>
    <x v="79"/>
    <s v="VALENCIENNES"/>
    <s v="3.454964"/>
    <s v="50.337038"/>
    <s v="Centre ville"/>
    <d v="2025-01-01T00:00:00"/>
    <d v="2025-01-01T00:00:00"/>
    <s v="Franchisee"/>
    <s v="GRAPE HOSPITALITY"/>
    <s v="Muriel JACQUELINE"/>
    <x v="0"/>
    <n v="1.5"/>
    <n v="0.7"/>
    <s v="January"/>
    <n v="0.6"/>
    <s v="August"/>
    <n v="0.8"/>
    <x v="0"/>
    <x v="0"/>
    <s v="No"/>
    <s v="Yes"/>
    <n v="7"/>
    <s v="-"/>
    <n v="0"/>
    <n v="1"/>
    <n v="0.5"/>
    <n v="0.5"/>
    <n v="0.4"/>
    <n v="0.6"/>
  </r>
  <r>
    <s v="H0459"/>
    <s v="NOVOTEL ROISSY SAINT-WITZ"/>
    <x v="3"/>
    <s v="16/06/1970"/>
    <n v="79"/>
    <x v="0"/>
    <s v="ROUTE DE SURVILLIERS"/>
    <s v="-"/>
    <s v="-"/>
    <x v="80"/>
    <s v="SAINT WITZ"/>
    <s v="2.548601"/>
    <s v="49.087884"/>
    <s v="Centre ville"/>
    <d v="2025-01-01T00:00:00"/>
    <d v="2025-01-01T00:00:00"/>
    <s v="Franchisee"/>
    <s v="GOUSSIN - GIRAUD"/>
    <s v="Sophie CHOLLON"/>
    <x v="0"/>
    <n v="1.5"/>
    <n v="0.7"/>
    <s v="January"/>
    <n v="0.6"/>
    <s v="August"/>
    <n v="0.8"/>
    <x v="0"/>
    <x v="0"/>
    <s v="No"/>
    <s v="Yes"/>
    <n v="6"/>
    <n v="1"/>
    <n v="0"/>
    <n v="1"/>
    <n v="0.5"/>
    <n v="0.5"/>
    <n v="0.4"/>
    <n v="0.6"/>
  </r>
  <r>
    <s v="H0460"/>
    <s v="MERCURE VICHY THERMALIA"/>
    <x v="1"/>
    <s v="01/04/1978"/>
    <n v="78"/>
    <x v="0"/>
    <s v="1 AVENUE THERMALE"/>
    <s v="-"/>
    <s v="-"/>
    <x v="81"/>
    <s v="VICHY"/>
    <s v="3.419778"/>
    <s v="46.126507"/>
    <s v="Centre ville"/>
    <d v="2025-01-01T00:00:00"/>
    <d v="2025-01-01T00:00:00"/>
    <s v="Franchisee"/>
    <s v="FRANCE-THERMES"/>
    <s v="Dominique CHEVANCE"/>
    <x v="0"/>
    <n v="1.5"/>
    <n v="0.7"/>
    <s v="January"/>
    <n v="0.6"/>
    <s v="August"/>
    <n v="0.8"/>
    <x v="0"/>
    <x v="0"/>
    <s v="No"/>
    <s v="Yes"/>
    <n v="7"/>
    <s v="-"/>
    <n v="0"/>
    <s v="-"/>
    <n v="0.5"/>
    <n v="0.5"/>
    <n v="0.4"/>
    <n v="0.6"/>
  </r>
  <r>
    <s v="H0471"/>
    <s v="IBIS RENNES CESSON"/>
    <x v="0"/>
    <s v="01/05/1980"/>
    <n v="76"/>
    <x v="0"/>
    <s v="62 RUE DE LA RIGOURDIÈRE"/>
    <s v="-"/>
    <s v="-"/>
    <x v="82"/>
    <s v="CESSON SEVIGNE"/>
    <s v="-1.576291"/>
    <s v="48.116615"/>
    <s v="Centre ville"/>
    <d v="2025-01-01T00:00:00"/>
    <d v="2025-01-01T00:00:00"/>
    <s v="Franchisee"/>
    <s v="CHRISTELLE TRAVERS"/>
    <s v="Jean-Francois STEBL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477"/>
    <s v="IBIS LYON GERLAND RUE MERIEUX"/>
    <x v="0"/>
    <s v="01/02/1988"/>
    <n v="80"/>
    <x v="0"/>
    <s v="246 RUE MARCEL MERIEUX"/>
    <s v="-"/>
    <s v="-"/>
    <x v="83"/>
    <s v="LYON"/>
    <s v="4.830065"/>
    <s v="45.729134"/>
    <s v="Centre ville"/>
    <d v="2025-01-01T00:00:00"/>
    <d v="2025-01-01T00:00:00"/>
    <s v="Franchisee"/>
    <s v="FRANCK BUCCIO"/>
    <s v="Katia GA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478"/>
    <s v="NOVOTEL NICE ARENAS AEROPORT"/>
    <x v="3"/>
    <s v="01/01/1989"/>
    <n v="131"/>
    <x v="1"/>
    <s v="455 PROMENADE DES ANGLAIS"/>
    <s v="-"/>
    <s v="-"/>
    <x v="84"/>
    <s v="NICE"/>
    <s v="7.213948"/>
    <s v="43.666994"/>
    <s v="Centre ville"/>
    <d v="2025-01-01T00:00:00"/>
    <d v="2025-01-01T00:00:00"/>
    <s v="Franchisee"/>
    <s v="FAMILLE FARINES"/>
    <s v="Marion BOROT"/>
    <x v="1"/>
    <n v="1.5"/>
    <n v="0.7"/>
    <s v="January"/>
    <n v="0.6"/>
    <s v="August"/>
    <n v="0.8"/>
    <x v="0"/>
    <x v="0"/>
    <s v="No"/>
    <s v="Yes"/>
    <n v="10"/>
    <n v="1"/>
    <n v="0"/>
    <s v="-"/>
    <n v="0.5"/>
    <n v="0.5"/>
    <n v="0.4"/>
    <n v="0.6"/>
  </r>
  <r>
    <s v="H0538"/>
    <s v="IBIS ANNECY CTRE VIEILLE VILLE"/>
    <x v="0"/>
    <s v="01/04/1979"/>
    <n v="85"/>
    <x v="0"/>
    <s v="12 RUE DE LA GARE"/>
    <s v="ILÔT DE LA MANUFACTURE"/>
    <s v="-"/>
    <x v="85"/>
    <s v="ANNECY"/>
    <s v="6.122539"/>
    <s v="45.898237"/>
    <s v="Centre ville"/>
    <d v="2025-01-01T00:00:00"/>
    <d v="2025-01-01T00:00:00"/>
    <s v="Franchisee"/>
    <s v="GROUPE COVIVIO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540"/>
    <s v="MERCURE ANGERS CENTRE"/>
    <x v="1"/>
    <s v="01/01/1983"/>
    <n v="84"/>
    <x v="0"/>
    <s v="1 PLACE MENDES FRANCE"/>
    <s v="-"/>
    <s v="-"/>
    <x v="86"/>
    <s v="ANGERS"/>
    <s v="-0.545272"/>
    <s v="47.474041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549"/>
    <s v="MERCURE PONT D AVIGNON CENTRE"/>
    <x v="1"/>
    <s v="26/07/1980"/>
    <n v="88"/>
    <x v="0"/>
    <s v="2 RUE FERRUCE"/>
    <s v="PARKING PALAIS DES PAPES BOULEVARD DE LA LIGNE"/>
    <s v="-"/>
    <x v="42"/>
    <s v="AVIGNON"/>
    <s v="4.805735"/>
    <s v="43.951869"/>
    <s v="Centre ville"/>
    <d v="2025-01-01T00:00:00"/>
    <d v="2025-01-01T00:00:00"/>
    <s v="Franchisee"/>
    <s v="HOLDING JCAP - AURELIE PANATTONI"/>
    <s v="Jean-Claude FOUCHET"/>
    <x v="0"/>
    <n v="1.5"/>
    <n v="0.7"/>
    <s v="January"/>
    <n v="0.6"/>
    <s v="August"/>
    <n v="0.8"/>
    <x v="1"/>
    <x v="0"/>
    <s v="No"/>
    <s v="Yes"/>
    <n v="6"/>
    <s v="-"/>
    <n v="0"/>
    <s v="-"/>
    <n v="0.5"/>
    <n v="0.5"/>
    <n v="0.4"/>
    <n v="0.6"/>
  </r>
  <r>
    <s v="H0550"/>
    <s v="NOVOTEL AVIGNON NORD"/>
    <x v="3"/>
    <s v="01/03/1974"/>
    <n v="100"/>
    <x v="1"/>
    <s v="135 AVENUE LOUIS PASTEUR"/>
    <s v="-"/>
    <s v="-"/>
    <x v="87"/>
    <s v="SORGUES (FR)"/>
    <s v="4.888744"/>
    <s v="43.985018"/>
    <s v="Centre ville"/>
    <d v="2025-01-01T00:00:00"/>
    <d v="2025-01-01T00:00:00"/>
    <s v="Franchisee"/>
    <s v="JOEL DE BELLIS"/>
    <s v="Jean-Claude FOUCHET"/>
    <x v="0"/>
    <n v="1.5"/>
    <n v="0.7"/>
    <s v="January"/>
    <n v="0.6"/>
    <s v="August"/>
    <n v="0.8"/>
    <x v="0"/>
    <x v="0"/>
    <s v="No"/>
    <s v="Yes"/>
    <n v="11"/>
    <s v="-"/>
    <n v="0"/>
    <s v="-"/>
    <n v="0.5"/>
    <n v="0.5"/>
    <n v="0.4"/>
    <n v="0.6"/>
  </r>
  <r>
    <s v="H0551"/>
    <s v="MERCURE BORDEAUX LAC"/>
    <x v="1"/>
    <s v="01/05/1975"/>
    <n v="100"/>
    <x v="1"/>
    <s v="RUE DU GRAND BARAIL"/>
    <s v="QUARTIER DU LAC"/>
    <s v="-"/>
    <x v="12"/>
    <s v="BORDEAUX"/>
    <s v="-0.563521"/>
    <s v="44.889323"/>
    <s v="Centre ville"/>
    <d v="2025-01-01T00:00:00"/>
    <d v="2025-01-01T00:00:00"/>
    <s v="Managed"/>
    <s v="MARC GAULIN"/>
    <s v="Olivier BRISSARD"/>
    <x v="1"/>
    <n v="1.5"/>
    <n v="0.7"/>
    <s v="January"/>
    <n v="0.6"/>
    <s v="August"/>
    <n v="0.8"/>
    <x v="0"/>
    <x v="2"/>
    <s v="No"/>
    <s v="Yes"/>
    <n v="3"/>
    <s v="-"/>
    <n v="0"/>
    <s v="-"/>
    <n v="0.5"/>
    <n v="0.5"/>
    <n v="0.4"/>
    <n v="0.6"/>
  </r>
  <r>
    <s v="H0569"/>
    <s v="MERCURE LA ROCHELLE VIEUX-PORT"/>
    <x v="1"/>
    <s v="01/01/1987"/>
    <n v="150"/>
    <x v="3"/>
    <s v="QUAI LOUIS PRUNIER"/>
    <s v="-"/>
    <s v="-"/>
    <x v="88"/>
    <s v="LA ROCHELLE"/>
    <s v="-1.149509"/>
    <s v="46.153824"/>
    <s v="Centre ville"/>
    <d v="2025-01-01T00:00:00"/>
    <d v="2025-01-01T00:00:00"/>
    <s v="Franchisee"/>
    <s v="BOISSEE FINANCES"/>
    <s v="Jerome LANTERNIER"/>
    <x v="0"/>
    <n v="1.5"/>
    <n v="0.7"/>
    <s v="January"/>
    <n v="0.6"/>
    <s v="August"/>
    <n v="0.8"/>
    <x v="0"/>
    <x v="0"/>
    <s v="No"/>
    <s v="Yes"/>
    <n v="9"/>
    <s v="-"/>
    <n v="0"/>
    <n v="1"/>
    <n v="0.5"/>
    <n v="0.5"/>
    <n v="0.4"/>
    <n v="0.6"/>
  </r>
  <r>
    <s v="H0577"/>
    <s v="MERCURE PARIS CDG AIRPORT"/>
    <x v="1"/>
    <s v="01/03/1974"/>
    <n v="345"/>
    <x v="2"/>
    <s v="ROISSYPÔLE OUEST"/>
    <s v="ROUTE DE LA COMMUNE"/>
    <s v="CEDEX"/>
    <x v="89"/>
    <s v="ROISSY"/>
    <s v="2.54931"/>
    <s v="49.00759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0"/>
    <x v="0"/>
    <s v="No"/>
    <s v="Yes"/>
    <n v="14"/>
    <n v="1"/>
    <n v="0"/>
    <n v="1"/>
    <n v="0.5"/>
    <n v="0.5"/>
    <n v="0.4"/>
    <n v="0.6"/>
  </r>
  <r>
    <s v="H0581"/>
    <s v="MERCURE ORLEANS CENTRE"/>
    <x v="1"/>
    <s v="01/01/1977"/>
    <n v="110"/>
    <x v="1"/>
    <s v="44 QUAI BARENTIN"/>
    <s v="-"/>
    <s v="-"/>
    <x v="90"/>
    <s v="ORLEANS"/>
    <s v="1.896331"/>
    <s v="47.897987"/>
    <s v="Centre ville"/>
    <d v="2025-01-01T00:00:00"/>
    <d v="2025-01-01T00:00:00"/>
    <s v="Franchisee"/>
    <s v="GROUPE DERET"/>
    <s v="Bruno COQUAZ"/>
    <x v="0"/>
    <n v="1.5"/>
    <n v="0.7"/>
    <s v="January"/>
    <n v="0.6"/>
    <s v="August"/>
    <n v="0.8"/>
    <x v="0"/>
    <x v="0"/>
    <s v="No"/>
    <s v="Yes"/>
    <n v="6"/>
    <n v="1"/>
    <n v="0"/>
    <n v="1"/>
    <n v="0.5"/>
    <n v="0.5"/>
    <n v="0.4"/>
    <n v="0.6"/>
  </r>
  <r>
    <s v="H0589"/>
    <s v="NOVOTEL METZ CENTRE"/>
    <x v="3"/>
    <s v="01/01/1988"/>
    <n v="120"/>
    <x v="1"/>
    <s v="PLACE DES PARAIGES"/>
    <s v="CENTRE SAINT JACQUES"/>
    <s v="-"/>
    <x v="91"/>
    <s v="METZ"/>
    <s v="6.179327"/>
    <s v="49.117872"/>
    <s v="Centre ville"/>
    <d v="2025-01-01T00:00:00"/>
    <d v="2025-01-01T00:00:00"/>
    <s v="Franchisee"/>
    <s v="KHALID ENNACIRI"/>
    <s v="Christophe RUQUEBOEUCHE"/>
    <x v="1"/>
    <n v="1.5"/>
    <n v="0.7"/>
    <s v="January"/>
    <n v="0.6"/>
    <s v="August"/>
    <n v="0.8"/>
    <x v="0"/>
    <x v="0"/>
    <s v="No"/>
    <s v="Yes"/>
    <n v="9"/>
    <n v="1"/>
    <n v="0"/>
    <n v="1"/>
    <n v="0.5"/>
    <n v="0.5"/>
    <n v="0.4"/>
    <n v="0.6"/>
  </r>
  <r>
    <s v="H0592"/>
    <s v="IBIS MONTPELLIER CTRE COMEDIE"/>
    <x v="0"/>
    <s v="01/01/1977"/>
    <n v="100"/>
    <x v="1"/>
    <s v="ALLÉE JULES MILHAU"/>
    <s v="IMMEUBLE LE TRIANGLE"/>
    <s v="RUE DU JEU DE BALLON (GPS)"/>
    <x v="92"/>
    <s v="MONTPELLIER"/>
    <s v="3.882841"/>
    <s v="43.60904"/>
    <s v="Centre ville"/>
    <d v="2025-01-01T00:00:00"/>
    <d v="2025-01-01T00:00:00"/>
    <s v="Managed"/>
    <s v="ACCORINVEST FRANCE"/>
    <s v="Yoan SAUTOU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03"/>
    <s v="IBIS BOURG EN BRESSE"/>
    <x v="0"/>
    <s v="01/05/1981"/>
    <n v="60"/>
    <x v="0"/>
    <s v="6 RUE DU MOULIN DE BROU"/>
    <s v="-"/>
    <s v="-"/>
    <x v="93"/>
    <s v="BOURG EN BRESSE"/>
    <s v="5.239502"/>
    <s v="46.200159"/>
    <s v="Centre ville"/>
    <d v="2025-01-01T00:00:00"/>
    <d v="2025-01-01T00:00:00"/>
    <s v="Franchisee"/>
    <s v="KER HOSPITALITY"/>
    <s v="Katia GA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05"/>
    <s v="IBIS CAEN PORTE D ANGLETERRE"/>
    <x v="0"/>
    <s v="02/01/1978"/>
    <n v="82"/>
    <x v="0"/>
    <s v="6 BOULEVARD GRAND PARC"/>
    <s v="-"/>
    <s v="-"/>
    <x v="94"/>
    <s v="HEROUVILLE SAINT CLAIR"/>
    <s v="-0.335024"/>
    <s v="49.196125"/>
    <s v="Centre ville"/>
    <d v="2025-01-01T00:00:00"/>
    <d v="2025-01-01T00:00:00"/>
    <s v="Franchisee"/>
    <s v="FAMILLE BESNEVILLE-LOGEAIS"/>
    <s v="Ronan LE MEU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07"/>
    <s v="IBIS CARCASSONNE EST LA CITE"/>
    <x v="0"/>
    <s v="01/05/1979"/>
    <n v="54"/>
    <x v="0"/>
    <s v="RUE CAMILLE FLAMMARION"/>
    <s v="-"/>
    <s v="-"/>
    <x v="95"/>
    <s v="CARCASSONNE"/>
    <s v="2.38634"/>
    <s v="43.209907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s v="-"/>
    <s v="-"/>
    <n v="0"/>
    <n v="1"/>
    <n v="0.5"/>
    <n v="0.5"/>
    <n v="0.4"/>
    <n v="0.6"/>
  </r>
  <r>
    <s v="H0608"/>
    <s v="IBIS CHALON SUR SAONE"/>
    <x v="0"/>
    <s v="01/01/1997"/>
    <n v="72"/>
    <x v="0"/>
    <s v="RUE PAUL VACHET"/>
    <s v="-"/>
    <s v="-"/>
    <x v="17"/>
    <s v="CHALON SUR SAONE"/>
    <s v="4.838347"/>
    <s v="46.796165"/>
    <s v="Centre ville"/>
    <d v="2025-01-01T00:00:00"/>
    <d v="2025-01-01T00:00:00"/>
    <s v="Franchisee"/>
    <s v="GROUPE DESFOSSEY"/>
    <s v="Katia GARNI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09"/>
    <s v="IBIS CHAMBERY"/>
    <x v="0"/>
    <s v="01/03/1977"/>
    <n v="87"/>
    <x v="0"/>
    <s v="100 RUE EUGÈNE DUCRETET"/>
    <s v="-"/>
    <s v="-"/>
    <x v="96"/>
    <s v="CHAMBERY"/>
    <s v="5.896286"/>
    <s v="45.595708"/>
    <s v="Centre ville"/>
    <d v="2025-01-01T00:00:00"/>
    <d v="2025-01-01T00:00:00"/>
    <s v="Franchisee"/>
    <s v="FAMILLE LAGRANGE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10"/>
    <s v="IBIS CHATELLERAULT"/>
    <x v="0"/>
    <s v="01/03/1978"/>
    <n v="71"/>
    <x v="0"/>
    <s v="10 AVENUE CAMILLE PAGE"/>
    <s v="BP 323"/>
    <s v="-"/>
    <x v="97"/>
    <s v="CHATELLERAULT"/>
    <s v="0.527705"/>
    <s v="46.797881"/>
    <s v="Centre ville"/>
    <d v="2025-01-01T00:00:00"/>
    <d v="2025-01-01T00:00:00"/>
    <s v="Franchisee"/>
    <s v="JEAN-LOUS GILBERT"/>
    <s v="Dominique CHEVANCE"/>
    <x v="0"/>
    <n v="1.5"/>
    <n v="0.7"/>
    <s v="January"/>
    <n v="0.6"/>
    <s v="August"/>
    <n v="0.8"/>
    <x v="0"/>
    <x v="0"/>
    <s v="No"/>
    <s v="Yes"/>
    <n v="2"/>
    <n v="1"/>
    <n v="0"/>
    <s v="-"/>
    <n v="0.5"/>
    <n v="0.5"/>
    <n v="0.4"/>
    <n v="0.6"/>
  </r>
  <r>
    <s v="H0611"/>
    <s v="IBIS DIEPPE VAL DRUEL"/>
    <x v="0"/>
    <s v="01/07/1977"/>
    <n v="45"/>
    <x v="4"/>
    <s v="RUE DE LA VIEILLE GRANGE"/>
    <s v="LE VAL DRUEL"/>
    <s v="-"/>
    <x v="98"/>
    <s v="DIEPPE"/>
    <s v="1.077626"/>
    <s v="49.905222"/>
    <s v="Centre ville"/>
    <d v="2025-01-01T00:00:00"/>
    <d v="2025-01-01T00:00:00"/>
    <s v="Franchisee"/>
    <s v="LUDOVIC WALOSZEK"/>
    <s v="Ronan LE MEU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12"/>
    <s v="IBIS GRENOBLE CENTRE BASTILLE"/>
    <x v="0"/>
    <s v="01/10/1980"/>
    <n v="71"/>
    <x v="0"/>
    <s v="5 RUE DE MIRIBEL"/>
    <s v="LES TROIS DAUPHINS"/>
    <s v="PLACE FÉLIX POULAT"/>
    <x v="99"/>
    <s v="GRENOBLE"/>
    <s v="5.725937"/>
    <s v="45.190347"/>
    <s v="Centre ville"/>
    <d v="2025-01-01T00:00:00"/>
    <d v="2025-01-01T00:00:00"/>
    <s v="Franchisee"/>
    <s v="JULIE CERCLERON"/>
    <s v="Bello DIALLO"/>
    <x v="1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613"/>
    <s v="IBIS LAVAL LE RELAIS D ARMOR"/>
    <x v="0"/>
    <s v="01/01/1997"/>
    <n v="69"/>
    <x v="0"/>
    <s v="BOULEVARD DE BUFFON"/>
    <s v="91 BOULEVARD DE BUFFON"/>
    <s v="-"/>
    <x v="100"/>
    <s v="CHANGE"/>
    <s v="-0.747829"/>
    <s v="48.089928"/>
    <s v="Centre ville"/>
    <d v="2025-01-01T00:00:00"/>
    <d v="2025-01-01T00:00:00"/>
    <s v="Franchisee"/>
    <s v="GROUPE VIKINGS HOTELLERIE"/>
    <s v="Jean-Francois STEBL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16"/>
    <s v="IBIS LORIENT"/>
    <x v="0"/>
    <s v="01/06/1980"/>
    <n v="41"/>
    <x v="4"/>
    <s v="758 RUE PIERRE LANDAIS"/>
    <s v="CENTRE HOTELIER DE BELLEVUE"/>
    <s v="-"/>
    <x v="65"/>
    <s v="CAUDAN"/>
    <s v="-3.330789"/>
    <s v="47.787369"/>
    <s v="Centre ville"/>
    <d v="2025-01-01T00:00:00"/>
    <d v="2025-01-01T00:00:00"/>
    <s v="Franchisee"/>
    <s v="BERTRAND HESNARD"/>
    <s v="Jean-Luc RABAULT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0617"/>
    <s v="IBIS LYON EST BRON"/>
    <x v="0"/>
    <s v="01/01/1997"/>
    <n v="100"/>
    <x v="1"/>
    <s v="36 AVENUE DU DOYEN JEAN LEPINE"/>
    <s v="-"/>
    <s v="-"/>
    <x v="66"/>
    <s v="BRON"/>
    <s v="4.904154"/>
    <s v="45.748005"/>
    <s v="Centre ville"/>
    <d v="2025-01-01T00:00:00"/>
    <d v="2025-01-01T00:00:00"/>
    <s v="Franchisee"/>
    <s v="HONPO"/>
    <s v="Katia GARNI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18"/>
    <s v="IBIS LYON GARE LA PART DIEU"/>
    <x v="0"/>
    <s v="01/10/1981"/>
    <n v="144"/>
    <x v="1"/>
    <s v="10 PLACE PIERRE RENAUDEL"/>
    <s v="-"/>
    <s v="-"/>
    <x v="101"/>
    <s v="LYON"/>
    <s v="4.858189"/>
    <s v="45.757591"/>
    <s v="Centre ville"/>
    <d v="2025-01-01T00:00:00"/>
    <d v="2025-01-01T00:00:00"/>
    <s v="Franchisee"/>
    <s v="GROUPE COVIVIO"/>
    <s v="Florence DEBRUYN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20"/>
    <s v="IBIS MELUN"/>
    <x v="0"/>
    <s v="01/01/1980"/>
    <n v="75"/>
    <x v="0"/>
    <s v="81 AVENUE DE MEAUX"/>
    <s v="-"/>
    <s v="-"/>
    <x v="102"/>
    <s v="MELUN"/>
    <s v="2.666637"/>
    <s v="48.550958"/>
    <s v="Centre ville"/>
    <d v="2025-01-01T00:00:00"/>
    <d v="2025-01-01T00:00:00"/>
    <s v="Franchisee"/>
    <s v="B.H.I"/>
    <s v="Pierre LAGRANG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621"/>
    <s v="IBIS METZ CENTRE CATHEDRALE"/>
    <x v="0"/>
    <s v="01/04/1981"/>
    <n v="79"/>
    <x v="0"/>
    <s v="47 RUE CHAMBIÈRE"/>
    <s v="QUARTIER PONTIFFROY"/>
    <s v="-"/>
    <x v="91"/>
    <s v="METZ"/>
    <s v="6.179069"/>
    <s v="49.123987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622"/>
    <s v="IBIS MONTBELIARD"/>
    <x v="0"/>
    <s v="01/01/1997"/>
    <n v="70"/>
    <x v="0"/>
    <s v="RUE DU JURA"/>
    <s v="LE PIED DES GOUTTES"/>
    <s v="-"/>
    <x v="103"/>
    <s v="MONTBELIARD"/>
    <s v="6.817274"/>
    <s v="47.498836"/>
    <s v="Centre ville"/>
    <d v="2025-01-01T00:00:00"/>
    <d v="2025-01-01T00:00:00"/>
    <s v="Franchisee"/>
    <s v="SOMNOO"/>
    <s v="Eric MARAIS"/>
    <x v="1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623"/>
    <s v="IBIS MONTELIMAR NORD"/>
    <x v="0"/>
    <s v="01/01/1981"/>
    <n v="59"/>
    <x v="0"/>
    <s v="ROUTE NATIONALE 7"/>
    <s v="ZONE DU PAVÉ"/>
    <s v="-"/>
    <x v="104"/>
    <s v="SAULCE SUR RHONE"/>
    <s v="4.795618"/>
    <s v="44.674665"/>
    <s v="Centre ville"/>
    <d v="2025-01-01T00:00:00"/>
    <d v="2025-01-01T00:00:00"/>
    <s v="Franchisee"/>
    <s v="C.F.H"/>
    <s v="Bello DIALLO"/>
    <x v="0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0624"/>
    <s v="IBIS MONTPELLIER SUD"/>
    <x v="0"/>
    <s v="02/01/1976"/>
    <n v="107"/>
    <x v="1"/>
    <s v="164 AVENUE DE PALAVAS"/>
    <s v="-"/>
    <s v="-"/>
    <x v="75"/>
    <s v="MONTPELLIER"/>
    <s v="3.891306"/>
    <s v="43.590239"/>
    <s v="Centre ville"/>
    <d v="2025-01-01T00:00:00"/>
    <d v="2025-01-01T00:00:00"/>
    <s v="Franchisee"/>
    <s v="FAMILLE FARINES"/>
    <s v="Jean-Claude FOUCHE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25"/>
    <s v="IBIS MOULINS SUD"/>
    <x v="0"/>
    <s v="16/06/1981"/>
    <n v="72"/>
    <x v="0"/>
    <s v="153 ROUTE DE LYON"/>
    <s v="ROUTE NATIONALE 7"/>
    <s v="-"/>
    <x v="105"/>
    <s v="MOULINS"/>
    <e v="#N/A"/>
    <e v="#N/A"/>
    <s v="Centre ville"/>
    <d v="2025-01-01T00:00:00"/>
    <d v="2025-01-01T00:00:00"/>
    <s v="Franchisee"/>
    <s v="HPVA HOTELS"/>
    <s v="Dominique CHEVANCE"/>
    <x v="0"/>
    <n v="1.5"/>
    <n v="0.7"/>
    <s v="January"/>
    <n v="0.6"/>
    <s v="August"/>
    <n v="0.8"/>
    <x v="0"/>
    <x v="1"/>
    <s v="No"/>
    <s v="Yes"/>
    <n v="1"/>
    <s v="-"/>
    <n v="1"/>
    <s v="-"/>
    <n v="0.5"/>
    <n v="0.5"/>
    <n v="0.4"/>
    <n v="0.6"/>
  </r>
  <r>
    <s v="H0627"/>
    <s v="IBIS MULHOUSE ILE NAPOLEON"/>
    <x v="0"/>
    <s v="05/06/1979"/>
    <n v="77"/>
    <x v="0"/>
    <s v="RUE DES CÉVENNES"/>
    <s v="ÎLE NAPOLÉON"/>
    <s v="-"/>
    <x v="76"/>
    <s v="SAUSHEIM"/>
    <s v="7.386846"/>
    <s v="47.781486"/>
    <s v="Centre ville"/>
    <d v="2025-01-01T00:00:00"/>
    <d v="2025-01-01T00:00:00"/>
    <s v="Franchisee"/>
    <s v="CLR HOTELS"/>
    <s v="Eric MARAIS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628"/>
    <s v="IBIS NEMOURS"/>
    <x v="0"/>
    <s v="01/01/1981"/>
    <n v="58"/>
    <x v="0"/>
    <s v="2 PLACE DES MOINES"/>
    <s v="SEINE ET MARNE"/>
    <s v="-"/>
    <x v="106"/>
    <s v="NEMOURS"/>
    <s v="2.718336"/>
    <s v="48.265579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29"/>
    <s v="IBIS NIMES OUEST"/>
    <x v="0"/>
    <s v="01/04/1981"/>
    <n v="108"/>
    <x v="1"/>
    <s v="268 RUE DE L'HOSTELLERIE"/>
    <s v="PARC HÔTELIER"/>
    <s v="VILLE ACTIVE"/>
    <x v="107"/>
    <s v="NIMES"/>
    <s v="4.343683"/>
    <s v="43.813883"/>
    <s v="Centre ville"/>
    <d v="2025-01-01T00:00:00"/>
    <d v="2025-01-01T00:00:00"/>
    <s v="Franchisee"/>
    <s v="FAMILLE PHILIP"/>
    <s v="Jean-Claude FOUCHET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0633"/>
    <s v="IBIS PARIS PORTE DE BAGNOLET"/>
    <x v="0"/>
    <s v="01/06/1975"/>
    <n v="162"/>
    <x v="3"/>
    <s v="1 RUE JEAN JAURES"/>
    <s v="-"/>
    <s v="-"/>
    <x v="108"/>
    <s v="BAGNOLET"/>
    <s v="2.417247"/>
    <s v="48.866608"/>
    <s v="Centre ville"/>
    <d v="2025-01-01T00:00:00"/>
    <d v="2025-01-01T00:00:00"/>
    <s v="Managed"/>
    <s v="ACCORINVEST FRANCE"/>
    <s v="Thibault FREMON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34"/>
    <s v="IBIS PARIS PORTE D ITALIE"/>
    <x v="0"/>
    <s v="01/04/1978"/>
    <n v="283"/>
    <x v="5"/>
    <s v="13 RUE DU VAL DE MARNE"/>
    <s v="-"/>
    <s v="-"/>
    <x v="109"/>
    <s v="GENTILLY"/>
    <s v="2.351237"/>
    <s v="48.81763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0"/>
    <s v="No"/>
    <s v="Yes"/>
    <n v="10"/>
    <s v="-"/>
    <n v="0"/>
    <s v="-"/>
    <n v="0.5"/>
    <n v="0.5"/>
    <n v="0.4"/>
    <n v="0.6"/>
  </r>
  <r>
    <s v="H0635"/>
    <s v="IBIS PARIS PORTE D ORLEANS"/>
    <x v="0"/>
    <s v="01/06/1977"/>
    <n v="402"/>
    <x v="2"/>
    <s v="33 RUE BARBÈS"/>
    <s v="-"/>
    <s v="-"/>
    <x v="22"/>
    <s v="MONTROUGE"/>
    <s v="2.329198"/>
    <s v="48.817165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636"/>
    <s v="IBIS PERIGUEUX"/>
    <x v="0"/>
    <s v="01/05/1976"/>
    <n v="88"/>
    <x v="0"/>
    <s v="8 BOULEVARD GEORGES SAUMANDE"/>
    <s v="-"/>
    <s v="-"/>
    <x v="110"/>
    <s v="PERIGUEUX"/>
    <s v="0.724004"/>
    <s v="45.183126"/>
    <s v="Centre ville"/>
    <d v="2025-01-01T00:00:00"/>
    <d v="2025-01-01T00:00:00"/>
    <s v="Franchisee"/>
    <s v="JEROME GUIMBAUD"/>
    <s v="Dominique CHEVANC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637"/>
    <s v="IBIS QUIMPER"/>
    <x v="0"/>
    <s v="01/05/1979"/>
    <n v="70"/>
    <x v="0"/>
    <s v="RUE GUSTAVE EIFFEL"/>
    <s v="QUARTIER DE L'HIPPODROME"/>
    <s v="-"/>
    <x v="111"/>
    <s v="QUIMPER"/>
    <s v="-4.078407"/>
    <s v="48.000303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38"/>
    <s v="IBIS LA ROCHELLE VIEUX PORT"/>
    <x v="0"/>
    <s v="01/06/1979"/>
    <n v="79"/>
    <x v="0"/>
    <s v="PLACE DU CDT DE LA MOTTE ROUGE"/>
    <s v="-"/>
    <s v="-"/>
    <x v="88"/>
    <s v="LA ROCHELLE"/>
    <s v="-1.1485"/>
    <s v="46.155737"/>
    <s v="Centre ville"/>
    <d v="2025-01-01T00:00:00"/>
    <d v="2025-01-01T00:00:00"/>
    <s v="Franchisee"/>
    <s v="CLR HOTELS"/>
    <s v="Jerome LANTE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39"/>
    <s v="IBIS SALLANCHES"/>
    <x v="0"/>
    <s v="01/01/1997"/>
    <n v="55"/>
    <x v="0"/>
    <s v="1643  AVENUE DE GENEVE"/>
    <s v="-"/>
    <s v="-"/>
    <x v="112"/>
    <s v="SALLANCHES"/>
    <s v="6.629717"/>
    <s v="45.951204"/>
    <s v="Centre ville"/>
    <d v="2025-01-01T00:00:00"/>
    <d v="2025-01-01T00:00:00"/>
    <s v="Franchisee"/>
    <s v="KER HOSPITALITY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40"/>
    <s v="IBIS STRASBOURG CENTRE HALLES"/>
    <x v="0"/>
    <s v="01/01/1995"/>
    <n v="98"/>
    <x v="0"/>
    <s v="1 RUE  SEBASTOPOL"/>
    <s v="-"/>
    <s v="-"/>
    <x v="68"/>
    <s v="STRASBOURG"/>
    <s v="7.743229"/>
    <s v="48.585812"/>
    <s v="Centre ville"/>
    <d v="2025-01-01T00:00:00"/>
    <d v="2025-01-01T00:00:00"/>
    <s v="Franchisee"/>
    <s v="GROUPE COVIVIO"/>
    <s v="Christophe RUQUEBOEUCHE"/>
    <x v="0"/>
    <n v="1.5"/>
    <n v="0.7"/>
    <s v="January"/>
    <n v="0.6"/>
    <s v="August"/>
    <n v="0.8"/>
    <x v="0"/>
    <x v="2"/>
    <s v="No"/>
    <s v="Yes"/>
    <s v="-"/>
    <n v="1"/>
    <n v="0"/>
    <s v="-"/>
    <n v="0.5"/>
    <n v="0.5"/>
    <n v="0.4"/>
    <n v="0.6"/>
  </r>
  <r>
    <s v="H0643"/>
    <s v="IBIS TOURS SUD"/>
    <x v="0"/>
    <s v="01/04/1980"/>
    <n v="77"/>
    <x v="0"/>
    <s v="10 RUE MICHAEL FARADAY"/>
    <s v="LA VRILLONNERIE"/>
    <s v="-"/>
    <x v="77"/>
    <s v="CHAMBRAY LES TOURS"/>
    <s v="0.700688"/>
    <s v="47.335295"/>
    <s v="Centre ville"/>
    <d v="2025-01-01T00:00:00"/>
    <d v="2025-01-01T00:00:00"/>
    <s v="Franchisee"/>
    <s v="JEAN-LUC MOTOT"/>
    <s v="Bruno COQUA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644"/>
    <s v="IBIS VALENCE SUD"/>
    <x v="0"/>
    <s v="01/07/1977"/>
    <n v="108"/>
    <x v="1"/>
    <s v="355  AVENUE DE PROVENCE"/>
    <s v="-"/>
    <s v="-"/>
    <x v="78"/>
    <s v="VALENCE (FR)"/>
    <s v="4.879314"/>
    <s v="44.908976"/>
    <s v="Centre ville"/>
    <d v="2025-01-01T00:00:00"/>
    <d v="2025-01-01T00:00:00"/>
    <s v="Franchisee"/>
    <s v="PASCAL DONAT"/>
    <s v="Bello DIALLO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646"/>
    <s v="IBIS LYON VILLEFRANCHE SAONE"/>
    <x v="0"/>
    <s v="01/02/1977"/>
    <n v="111"/>
    <x v="1"/>
    <s v="94 ALLÉE DE RIOTTIER"/>
    <s v="-"/>
    <s v="-"/>
    <x v="113"/>
    <s v="LIMAS"/>
    <s v="4.738979"/>
    <s v="45.976749"/>
    <s v="Centre ville"/>
    <d v="2025-01-01T00:00:00"/>
    <d v="2025-01-01T00:00:00"/>
    <s v="Franchisee"/>
    <s v="KER HOSPITALITY"/>
    <s v="Katia GARNI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650"/>
    <s v="IBIS VANNES"/>
    <x v="0"/>
    <s v="01/06/1971"/>
    <n v="71"/>
    <x v="0"/>
    <s v="31 RUE HENRI MATISSE"/>
    <s v="QUARTIER DE MENIMUR"/>
    <s v="-"/>
    <x v="114"/>
    <s v="VANNES"/>
    <s v="-2.768007"/>
    <s v="47.669845"/>
    <s v="Centre ville"/>
    <d v="2025-01-01T00:00:00"/>
    <d v="2025-01-01T00:00:00"/>
    <s v="Franchisee"/>
    <s v="JEAN-CHRISTOPHE CORVAISIER"/>
    <s v="Jean-Luc RABAUL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652"/>
    <s v="MERCURE GRENOBLE CT ALPOTEL"/>
    <x v="1"/>
    <s v="01/11/1968"/>
    <n v="88"/>
    <x v="0"/>
    <s v="12 BOULEVARD MARECHAL JOFFRE"/>
    <s v="-"/>
    <s v="-"/>
    <x v="99"/>
    <s v="GRENOBLE"/>
    <s v="5.729746"/>
    <s v="45.183239"/>
    <s v="Centre ville"/>
    <d v="2025-01-01T00:00:00"/>
    <d v="2025-01-01T00:00:00"/>
    <s v="Franchisee"/>
    <s v="ATYPIO"/>
    <s v="Bello DIALLO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654"/>
    <s v="IBIS STYLES DIJON CENTRAL"/>
    <x v="2"/>
    <s v="01/01/1997"/>
    <n v="89"/>
    <x v="0"/>
    <s v="3 PLACE GRANGIER"/>
    <s v="-"/>
    <s v="-"/>
    <x v="115"/>
    <s v="DIJON"/>
    <s v="5.037972"/>
    <s v="47.323083"/>
    <s v="Centre ville"/>
    <d v="2025-01-01T00:00:00"/>
    <d v="2025-01-01T00:00:00"/>
    <s v="Franchisee"/>
    <s v="FAMILLE JACQUIER"/>
    <s v="Eric MARAIS"/>
    <x v="0"/>
    <n v="1.5"/>
    <n v="0.7"/>
    <s v="January"/>
    <n v="0.6"/>
    <s v="August"/>
    <n v="0.8"/>
    <x v="0"/>
    <x v="2"/>
    <s v="No"/>
    <s v="Yes"/>
    <n v="1"/>
    <s v="-"/>
    <n v="0"/>
    <s v="-"/>
    <n v="0.5"/>
    <n v="0.5"/>
    <n v="0.4"/>
    <n v="0.6"/>
  </r>
  <r>
    <s v="H0659"/>
    <s v="IBIS POITIERS SUD"/>
    <x v="0"/>
    <s v="01/06/1982"/>
    <n v="79"/>
    <x v="0"/>
    <s v="175 AVENUE DU 8 MAI 1945"/>
    <s v="-"/>
    <s v="-"/>
    <x v="116"/>
    <s v="POITIERS"/>
    <s v="0.303275"/>
    <s v="46.550636"/>
    <s v="Centre ville"/>
    <d v="2025-01-01T00:00:00"/>
    <d v="2025-01-01T00:00:00"/>
    <s v="Franchisee"/>
    <s v="JEAN-LUC MOTOT"/>
    <s v="Dominique CHEVANC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0668"/>
    <s v="IBIS THALASSA LE TOUQUET"/>
    <x v="0"/>
    <s v="01/04/1982"/>
    <n v="91"/>
    <x v="0"/>
    <s v="AVENUE LOUISON BOBET"/>
    <s v="FRONT DE MER"/>
    <s v="CS 40214"/>
    <x v="74"/>
    <s v="LE TOUQUET"/>
    <e v="#N/A"/>
    <e v="#N/A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0"/>
    <s v="No"/>
    <s v="Yes"/>
    <s v="-"/>
    <n v="2"/>
    <n v="1"/>
    <n v="1"/>
    <n v="0.5"/>
    <n v="0.5"/>
    <n v="0.4"/>
    <n v="0.6"/>
  </r>
  <r>
    <s v="H0670"/>
    <s v="IBIS MACON SUD CRECHES"/>
    <x v="0"/>
    <s v="01/06/1981"/>
    <n v="83"/>
    <x v="0"/>
    <s v="371 RUE DU MÂCONNAIS"/>
    <s v="PARC HÔTELIER LES BOUCHARDES"/>
    <s v="-"/>
    <x v="117"/>
    <s v="LA CHAPELLE DE GUINCHAY"/>
    <s v="4.789924"/>
    <s v="46.254337"/>
    <s v="Centre ville"/>
    <d v="2025-01-01T00:00:00"/>
    <d v="2025-01-01T00:00:00"/>
    <s v="Franchisee"/>
    <s v="EDITH MINGRET"/>
    <s v="Katia GARNIER"/>
    <x v="0"/>
    <n v="1.5"/>
    <n v="0.7"/>
    <s v="January"/>
    <n v="0.6"/>
    <s v="August"/>
    <n v="0.8"/>
    <x v="0"/>
    <x v="0"/>
    <s v="No"/>
    <s v="Yes"/>
    <n v="2"/>
    <s v="-"/>
    <n v="0"/>
    <n v="1"/>
    <n v="0.5"/>
    <n v="0.5"/>
    <n v="0.4"/>
    <n v="0.6"/>
  </r>
  <r>
    <s v="H0671"/>
    <s v="IBIS NARBONNE"/>
    <x v="0"/>
    <s v="01/06/1979"/>
    <n v="67"/>
    <x v="0"/>
    <s v="159 RUE DE L' HOTELLERIE"/>
    <s v="QUARTIER PLAISANCE - RN9"/>
    <s v="-"/>
    <x v="49"/>
    <s v="NARBONNE"/>
    <s v="2.986286"/>
    <s v="43.167721"/>
    <s v="Centre ville"/>
    <d v="2025-01-01T00:00:00"/>
    <d v="2025-01-01T00:00:00"/>
    <s v="Franchisee"/>
    <s v="GRAPE HOSPITALITY"/>
    <s v="Jean Francois SANCHE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683"/>
    <s v="IBIS BEZIERS EST MEDITERRANEE"/>
    <x v="0"/>
    <s v="01/07/1980"/>
    <n v="104"/>
    <x v="1"/>
    <s v="ECHANGEUR CABRIALS"/>
    <s v="AVENUE DU VIGUIER"/>
    <s v="-"/>
    <x v="118"/>
    <s v="BEZIERS"/>
    <s v="3.278367"/>
    <s v="43.334251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0"/>
    <x v="0"/>
    <s v="No"/>
    <s v="Yes"/>
    <n v="9"/>
    <s v="-"/>
    <n v="0"/>
    <n v="1"/>
    <n v="0.5"/>
    <n v="0.5"/>
    <n v="0.4"/>
    <n v="0.6"/>
  </r>
  <r>
    <s v="H0684"/>
    <s v="IBIS TOURS NORD"/>
    <x v="0"/>
    <s v="12/07/1979"/>
    <n v="62"/>
    <x v="0"/>
    <s v="318 BIS AVENUE MAGINOT"/>
    <s v="CC LA PETITE ARCHE"/>
    <s v="-"/>
    <x v="119"/>
    <s v="TOURS"/>
    <s v="0.702334"/>
    <s v="47.427586"/>
    <s v="Centre ville"/>
    <d v="2025-01-01T00:00:00"/>
    <d v="2025-01-01T00:00:00"/>
    <s v="Franchisee"/>
    <s v="GRAPE HOSPITALITY"/>
    <s v="Bruno COQUA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686"/>
    <s v="IBIS AVIGNON SUD"/>
    <x v="0"/>
    <s v="01/07/1981"/>
    <n v="93"/>
    <x v="0"/>
    <s v="71 CHEMIN DE LA CRISTOLE"/>
    <s v="GPS : RUE DU BON VENT- 84000"/>
    <s v="-"/>
    <x v="120"/>
    <s v="AVIGNON"/>
    <s v="4.849734"/>
    <s v="43.925903"/>
    <s v="Centre ville"/>
    <d v="2025-01-01T00:00:00"/>
    <d v="2025-01-01T00:00:00"/>
    <s v="Franchisee"/>
    <s v="ALBORAN"/>
    <s v="Jean-Claude FOUCHET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0687"/>
    <s v="IBIS RAMBOUILLET"/>
    <x v="0"/>
    <s v="01/04/1980"/>
    <n v="63"/>
    <x v="0"/>
    <s v="2 RUE PIERRE MÉTAIRIE"/>
    <s v="GPS : RN 10 ZA BEL AIR"/>
    <s v="-"/>
    <x v="121"/>
    <s v="RAMBOUILLET"/>
    <s v="1.828365"/>
    <s v="48.622796"/>
    <s v="Centre ville"/>
    <d v="2025-01-01T00:00:00"/>
    <d v="2025-01-01T00:00:00"/>
    <s v="Franchisee"/>
    <s v="MATHIEU MOLINARI"/>
    <s v="Pierre LAGRANGE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0688"/>
    <s v="IBIS CHARTRES OUEST LUCE"/>
    <x v="0"/>
    <s v="17/12/1979"/>
    <n v="69"/>
    <x v="0"/>
    <s v="2 IMPASSE DU PÉRIGORD"/>
    <s v="ROUTE NATIONALE 23"/>
    <s v="CARREFOUR DE L'EUROPE"/>
    <x v="122"/>
    <s v="LUCE"/>
    <s v="1.448846"/>
    <s v="48.43697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0"/>
    <x v="0"/>
    <s v="No"/>
    <s v="Yes"/>
    <s v="-"/>
    <n v="1"/>
    <n v="0"/>
    <s v="-"/>
    <n v="0.5"/>
    <n v="0.5"/>
    <n v="0.4"/>
    <n v="0.6"/>
  </r>
  <r>
    <s v="H0689"/>
    <s v="IBIS RENNES BEAULIEU"/>
    <x v="0"/>
    <s v="01/01/1974"/>
    <n v="62"/>
    <x v="0"/>
    <s v="RUE DU TAILLIS"/>
    <s v="RUE DE RENNES"/>
    <s v="-"/>
    <x v="82"/>
    <s v="CESSON SEVIGNE"/>
    <s v="-1.621732"/>
    <s v="48.114445"/>
    <s v="Centre ville"/>
    <d v="2025-01-01T00:00:00"/>
    <d v="2025-01-01T00:00:00"/>
    <s v="Franchisee"/>
    <s v="CHRISTELLE TRAVERS"/>
    <s v="Jean-Francois STEBLER"/>
    <x v="0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0691"/>
    <s v="IBIS COMPIEGNE"/>
    <x v="0"/>
    <s v="01/04/1981"/>
    <n v="80"/>
    <x v="0"/>
    <s v="18 RUE EDOUARD BRANLY"/>
    <s v="ZAC DE MERCIÈRES"/>
    <s v="-"/>
    <x v="123"/>
    <s v="COMPIEGNE"/>
    <s v="2.790146"/>
    <s v="49.396938"/>
    <s v="Centre ville"/>
    <d v="2025-01-01T00:00:00"/>
    <d v="2025-01-01T00:00:00"/>
    <s v="Franchisee"/>
    <s v="GUILLAUME WALOSZEK"/>
    <s v="Sophie CHOLLON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692"/>
    <s v="IBIS ARLES"/>
    <x v="0"/>
    <s v="01/05/1981"/>
    <n v="82"/>
    <x v="0"/>
    <s v="RUE GERARD GADIOT"/>
    <s v="CENTRE COMMERCIAL FOURCHON"/>
    <s v="-"/>
    <x v="124"/>
    <s v="ARLES"/>
    <s v="4.632915"/>
    <s v="43.666381"/>
    <s v="Centre ville"/>
    <d v="2025-01-01T00:00:00"/>
    <d v="2025-01-01T00:00:00"/>
    <s v="Franchisee"/>
    <s v="EMMANUEL SANTIAGO"/>
    <s v="Alexandra LAUNAY"/>
    <x v="0"/>
    <n v="1.5"/>
    <n v="0.7"/>
    <s v="January"/>
    <n v="0.6"/>
    <s v="August"/>
    <n v="0.8"/>
    <x v="0"/>
    <x v="0"/>
    <s v="No"/>
    <s v="Yes"/>
    <n v="2"/>
    <s v="-"/>
    <n v="0"/>
    <n v="1"/>
    <n v="0.5"/>
    <n v="0.5"/>
    <n v="0.4"/>
    <n v="0.6"/>
  </r>
  <r>
    <s v="H0694"/>
    <s v="MERCURE MONTMARTRE BASILIQUE"/>
    <x v="1"/>
    <s v="01/01/1983"/>
    <n v="51"/>
    <x v="0"/>
    <s v="100 BOULEVARD ROCHECHOUART"/>
    <s v="-"/>
    <s v="-"/>
    <x v="21"/>
    <s v="PARIS"/>
    <s v="2.341561"/>
    <s v="48.88255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95"/>
    <s v="IBIS POITIERS BEAULIEU"/>
    <x v="0"/>
    <s v="01/01/1978"/>
    <n v="49"/>
    <x v="4"/>
    <s v="1 RUE DU BOIS DOUSSET"/>
    <s v="-"/>
    <s v="-"/>
    <x v="116"/>
    <s v="POITIERS"/>
    <s v="0.379023"/>
    <s v="46.576793"/>
    <s v="Centre ville"/>
    <d v="2025-01-01T00:00:00"/>
    <d v="2025-01-01T00:00:00"/>
    <s v="Franchisee"/>
    <s v="GROUPE KERDONIS"/>
    <s v="Dominique CHEVANC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0697"/>
    <s v="IBIS PARIS MONTMARTRE"/>
    <x v="0"/>
    <s v="01/05/1982"/>
    <n v="326"/>
    <x v="2"/>
    <s v="5 RUE CAULAINCOURT"/>
    <s v="-"/>
    <s v="-"/>
    <x v="21"/>
    <s v="PARIS"/>
    <s v="2.330164"/>
    <s v="48.885178"/>
    <s v="Centre ville"/>
    <d v="2025-01-01T00:00:00"/>
    <d v="2025-01-01T00:00:00"/>
    <s v="Franchisee"/>
    <s v="GROUPE COVIVIO"/>
    <s v="Florence DEBRUY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698"/>
    <s v="IBIS DIJON SUD"/>
    <x v="0"/>
    <s v="01/06/1980"/>
    <n v="78"/>
    <x v="0"/>
    <s v="1 RUE BOLOTTE"/>
    <s v="-"/>
    <s v="-"/>
    <x v="53"/>
    <s v="MARSANNAY LA COTE"/>
    <s v="5.003006"/>
    <s v="47.272234"/>
    <s v="Centre ville"/>
    <d v="2025-01-01T00:00:00"/>
    <d v="2025-01-01T00:00:00"/>
    <s v="Franchisee"/>
    <s v="FAMILLE BOISSELIER"/>
    <s v="Eric MARAIS"/>
    <x v="0"/>
    <n v="1.5"/>
    <n v="0.7"/>
    <s v="January"/>
    <n v="0.6"/>
    <s v="August"/>
    <n v="0.8"/>
    <x v="2"/>
    <x v="0"/>
    <s v="No"/>
    <s v="Yes"/>
    <n v="1"/>
    <s v="-"/>
    <n v="0"/>
    <s v="-"/>
    <n v="0.5"/>
    <n v="0.5"/>
    <n v="0.4"/>
    <n v="0.6"/>
  </r>
  <r>
    <s v="H0699"/>
    <s v="IBIS CHALONS EN CHAMPAGNE"/>
    <x v="0"/>
    <s v="01/10/1980"/>
    <n v="43"/>
    <x v="4"/>
    <s v="IBIS CHÂLONS EN CHAMPAGNE"/>
    <s v="COMPLEXE AGRICOLE MONT BERNARD"/>
    <s v="ROUTE DE SUIPPES D 977"/>
    <x v="125"/>
    <s v="CHALONS EN CHAMPAGNE"/>
    <s v="4.382172"/>
    <s v="48.981329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700"/>
    <s v="IBIS CAMBRAI"/>
    <x v="0"/>
    <s v="01/03/1978"/>
    <n v="52"/>
    <x v="0"/>
    <s v="ROUTE DE BAPAUME"/>
    <s v="-"/>
    <s v="-"/>
    <x v="126"/>
    <s v="CAMBRAI"/>
    <s v="3.194228"/>
    <s v="50.174157"/>
    <s v="Centre ville"/>
    <d v="2025-01-01T00:00:00"/>
    <d v="2025-01-01T00:00:00"/>
    <s v="Franchisee"/>
    <s v="CLAUDE GEORGET"/>
    <s v="Muriel JACQUELIN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703"/>
    <s v="IBIS STYLES ROUEN BARENTIN"/>
    <x v="2"/>
    <s v="15/09/1980"/>
    <n v="42"/>
    <x v="4"/>
    <s v="ROUTE NATIONALE 15"/>
    <s v="CENTRE COMMERCIAL LE MESNIL ROUX"/>
    <s v="-"/>
    <x v="127"/>
    <s v="BARENTIN"/>
    <s v="0.964722"/>
    <s v="49.533611"/>
    <s v="Centre ville"/>
    <d v="2025-01-01T00:00:00"/>
    <d v="2025-01-01T00:00:00"/>
    <s v="Franchisee"/>
    <s v="FERRE HOTELS"/>
    <s v="Ronan LE MEUR"/>
    <x v="2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704"/>
    <s v="IBIS LE MANS EST PONTLIEUE"/>
    <x v="0"/>
    <s v="30/05/1978"/>
    <n v="59"/>
    <x v="0"/>
    <s v="3 RUE CLEMENT MAROT"/>
    <s v="-"/>
    <s v="-"/>
    <x v="4"/>
    <s v="LE MANS"/>
    <s v="0.219716"/>
    <s v="47.981527"/>
    <s v="Centre ville"/>
    <d v="2025-01-01T00:00:00"/>
    <d v="2025-01-01T00:00:00"/>
    <s v="Franchisee"/>
    <s v="FRANCOIS LE DU"/>
    <s v="Bruno COQUAZ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707"/>
    <s v="IBIS FOURMIES"/>
    <x v="0"/>
    <s v="01/01/1997"/>
    <n v="31"/>
    <x v="4"/>
    <s v="LES ETANGS DES MOINES"/>
    <s v="-"/>
    <s v="-"/>
    <x v="128"/>
    <s v="FOURMIES"/>
    <s v="4.06389"/>
    <s v="50.008263"/>
    <s v="Centre ville"/>
    <d v="2025-01-01T00:00:00"/>
    <d v="2025-01-01T00:00:00"/>
    <s v="Franchisee"/>
    <s v="OLIVIER DUGAY"/>
    <s v="Muriel JACQUELI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708"/>
    <s v="IBIS ROANNE"/>
    <x v="0"/>
    <s v="01/05/1980"/>
    <n v="71"/>
    <x v="0"/>
    <s v="53 BOULEVARD CHARLES DE GAULLE"/>
    <s v="-"/>
    <s v="-"/>
    <x v="129"/>
    <s v="LE COTEAU"/>
    <s v="4.097502"/>
    <s v="46.010288"/>
    <s v="Centre ville"/>
    <d v="2025-01-01T00:00:00"/>
    <d v="2025-01-01T00:00:00"/>
    <s v="Franchisee"/>
    <s v="SOMNOO"/>
    <s v="Katia GARNIER"/>
    <x v="1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0709"/>
    <s v="IBIS SENLIS"/>
    <x v="0"/>
    <s v="24/02/1982"/>
    <n v="95"/>
    <x v="0"/>
    <s v="72 AVENUE DU GENERAL DE GAULLE"/>
    <s v="-"/>
    <s v="-"/>
    <x v="130"/>
    <s v="SENLIS"/>
    <s v="2.605605"/>
    <s v="49.208878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0711"/>
    <s v="IBIS ANTIBES SOPHIA ANTIPOLIS"/>
    <x v="0"/>
    <s v="01/02/1983"/>
    <n v="100"/>
    <x v="1"/>
    <s v="502 RUE ALBERT CAQUOT"/>
    <s v="-"/>
    <s v="-"/>
    <x v="41"/>
    <s v="VALBONNE"/>
    <s v="7.055821"/>
    <s v="43.61969"/>
    <s v="Centre ville"/>
    <d v="2025-01-01T00:00:00"/>
    <d v="2025-01-01T00:00:00"/>
    <s v="Franchisee"/>
    <s v="GRAPE HOSPITALITY"/>
    <s v="Marion BOROT"/>
    <x v="0"/>
    <n v="1.5"/>
    <n v="0.7"/>
    <s v="January"/>
    <n v="0.6"/>
    <s v="August"/>
    <n v="0.8"/>
    <x v="0"/>
    <x v="0"/>
    <s v="No"/>
    <s v="Yes"/>
    <s v="-"/>
    <s v="-"/>
    <n v="0"/>
    <n v="1"/>
    <n v="0.5"/>
    <n v="0.5"/>
    <n v="0.4"/>
    <n v="0.6"/>
  </r>
  <r>
    <s v="H0714"/>
    <s v="IBIS AIX EN PROVENCE"/>
    <x v="0"/>
    <s v="01/03/1983"/>
    <n v="124"/>
    <x v="1"/>
    <s v="CHEMIN DES INFIRMERIES"/>
    <s v="-"/>
    <s v="-"/>
    <x v="37"/>
    <s v="AIX EN PROVENCE"/>
    <s v="5.46529"/>
    <s v="43.51146"/>
    <s v="Centre ville"/>
    <d v="2025-01-01T00:00:00"/>
    <d v="2025-01-01T00:00:00"/>
    <s v="Franchisee"/>
    <s v="GWENAEL LE HOUEROU"/>
    <s v="Alexandra LAUNAY"/>
    <x v="0"/>
    <n v="1.5"/>
    <n v="0.7"/>
    <s v="January"/>
    <n v="0.6"/>
    <s v="August"/>
    <n v="0.8"/>
    <x v="0"/>
    <x v="0"/>
    <s v="No"/>
    <s v="Yes"/>
    <n v="2"/>
    <s v="-"/>
    <n v="0"/>
    <n v="1"/>
    <n v="0.5"/>
    <n v="0.5"/>
    <n v="0.4"/>
    <n v="0.6"/>
  </r>
  <r>
    <s v="H0715"/>
    <s v="IBIS CALAIS CAR FERRY"/>
    <x v="0"/>
    <s v="01/05/1980"/>
    <n v="55"/>
    <x v="0"/>
    <s v="2 RUE GREUZE"/>
    <s v="QUARTIER BEAU MARAIS"/>
    <s v="-"/>
    <x v="131"/>
    <s v="CALAIS"/>
    <s v="1.879024"/>
    <s v="50.947037"/>
    <s v="Centre ville"/>
    <d v="2025-01-01T00:00:00"/>
    <d v="2025-01-01T00:00:00"/>
    <s v="Franchisee"/>
    <s v="SOMNOO"/>
    <s v="Muriel JACQUELIN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716"/>
    <s v="IBIS PARIS PONT DE SURESNES"/>
    <x v="0"/>
    <s v="01/05/1983"/>
    <n v="62"/>
    <x v="0"/>
    <s v="6 RUE DES BOURETS"/>
    <s v="-"/>
    <s v="-"/>
    <x v="132"/>
    <s v="SURESNES"/>
    <s v="2.227188"/>
    <s v="48.868349"/>
    <s v="Centre ville"/>
    <d v="2025-01-01T00:00:00"/>
    <d v="2025-01-01T00:00:00"/>
    <s v="Managed"/>
    <s v="ACCORINVEST FRANCE"/>
    <s v="Laurence PEREIRA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723"/>
    <s v="IBIS SAINT OMER CENTRE"/>
    <x v="0"/>
    <s v="05/06/1983"/>
    <n v="65"/>
    <x v="0"/>
    <s v="2-4 RUE HENRI DUPUIS"/>
    <s v="-"/>
    <s v="-"/>
    <x v="133"/>
    <s v="SAINT OMER"/>
    <s v="2.251449"/>
    <s v="50.748253"/>
    <s v="Centre ville"/>
    <d v="2025-01-01T00:00:00"/>
    <d v="2025-01-01T00:00:00"/>
    <s v="Franchisee"/>
    <s v="FAMILLE DUCROCQ"/>
    <s v="Muriel JACQUELIN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725"/>
    <s v="IBIS ST RAMBERT D ALBON"/>
    <x v="0"/>
    <s v="01/01/1997"/>
    <n v="69"/>
    <x v="0"/>
    <s v="RN 7"/>
    <s v="QUARTIER LES CHAMPAGNIÈRES"/>
    <s v="-"/>
    <x v="134"/>
    <s v="SAINT RAMBERT D'ALBON"/>
    <s v="4.823902"/>
    <s v="45.26909"/>
    <s v="Centre ville"/>
    <d v="2025-01-01T00:00:00"/>
    <d v="2025-01-01T00:00:00"/>
    <s v="Franchisee"/>
    <s v="SOMNOO"/>
    <s v="Bello DIALLO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728"/>
    <s v="IBIS SAINT MALO LA MADELEINE"/>
    <x v="0"/>
    <s v="01/03/1984"/>
    <n v="74"/>
    <x v="0"/>
    <s v="AVENUE DU GENERAL DE GAULLE"/>
    <s v="IMPASSE DE LA PEUPLERAIE"/>
    <s v="-"/>
    <x v="135"/>
    <s v="SAINT MALO"/>
    <s v="-1.99007"/>
    <s v="48.624881"/>
    <s v="Centre ville"/>
    <d v="2025-01-01T00:00:00"/>
    <d v="2025-01-01T00:00:00"/>
    <s v="Franchisee"/>
    <s v="BOUCLET - MOUCHONNET"/>
    <s v="Jean-Francois STEBLER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0731"/>
    <s v="IBIS STYLES RENNES CENTRE GARE"/>
    <x v="2"/>
    <s v="01/05/1991"/>
    <n v="99"/>
    <x v="0"/>
    <s v="15 PLACE DE LA GARE"/>
    <s v="-"/>
    <s v="-"/>
    <x v="136"/>
    <s v="RENNES"/>
    <s v="-1.671091"/>
    <s v="48.104279"/>
    <s v="Centre ville"/>
    <d v="2025-01-01T00:00:00"/>
    <d v="2025-01-01T00:00:00"/>
    <s v="Franchisee"/>
    <s v="BLOT IMMOBILIER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733"/>
    <s v="IBIS PARIS EPINAY SUR SEINE"/>
    <x v="0"/>
    <s v="01/01/1997"/>
    <n v="87"/>
    <x v="0"/>
    <s v="1-3 AVENUE DU  18 JUIN 1940"/>
    <s v="-"/>
    <s v="-"/>
    <x v="137"/>
    <s v="EPINAY SUR SEINE"/>
    <s v="2.307957"/>
    <s v="48.954182"/>
    <s v="Centre ville"/>
    <d v="2025-01-01T00:00:00"/>
    <d v="2025-01-01T00:00:00"/>
    <s v="Franchisee"/>
    <s v="LAURENT YANG"/>
    <s v="Sophie CHOLLON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736"/>
    <s v="N LYS GERLAND MUSEE CONFLUENCE"/>
    <x v="3"/>
    <s v="01/08/1984"/>
    <n v="186"/>
    <x v="3"/>
    <s v="70 AVENUE LECLERC"/>
    <s v="LYON CEDEX 07"/>
    <s v="-"/>
    <x v="138"/>
    <s v="LYON"/>
    <s v="4.823805"/>
    <s v="45.733052"/>
    <s v="Centre ville"/>
    <d v="2025-01-01T00:00:00"/>
    <d v="2025-01-01T00:00:00"/>
    <s v="Franchisee"/>
    <s v="SOFIPARC"/>
    <s v="Katia GARNIER"/>
    <x v="1"/>
    <n v="1.5"/>
    <n v="0.7"/>
    <s v="January"/>
    <n v="0.6"/>
    <s v="August"/>
    <n v="0.8"/>
    <x v="0"/>
    <x v="0"/>
    <s v="No"/>
    <s v="Yes"/>
    <n v="15"/>
    <n v="1"/>
    <n v="0"/>
    <n v="1"/>
    <n v="0.5"/>
    <n v="0.5"/>
    <n v="0.4"/>
    <n v="0.6"/>
  </r>
  <r>
    <s v="H0740"/>
    <s v="IBIS LYON EST BEYNOST A42"/>
    <x v="0"/>
    <s v="01/01/1983"/>
    <n v="72"/>
    <x v="0"/>
    <s v="ALLEE PRE CAILLAT"/>
    <s v="CENTRE COMMERCIAL"/>
    <s v="AUTOROUTE A42 SORTIE 5"/>
    <x v="139"/>
    <s v="BEYNOST"/>
    <s v="4.995417"/>
    <s v="45.823307"/>
    <s v="Centre ville"/>
    <d v="2025-01-01T00:00:00"/>
    <d v="2025-01-01T00:00:00"/>
    <s v="Franchisee"/>
    <s v="FAMILLE PEYER"/>
    <s v="Katia GA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741"/>
    <s v="IBIS ABBEVILLE"/>
    <x v="0"/>
    <s v="18/01/1984"/>
    <n v="65"/>
    <x v="0"/>
    <s v="234 ROUTE D'AMIENS"/>
    <s v="-"/>
    <s v="-"/>
    <x v="140"/>
    <s v="ABBEVILLE"/>
    <s v="1.859951"/>
    <s v="50.097844"/>
    <s v="Centre ville"/>
    <d v="2025-01-01T00:00:00"/>
    <d v="2025-01-01T00:00:00"/>
    <s v="Franchisee"/>
    <s v="CHRISTIAN DIJOUX"/>
    <s v="Muriel JACQUELIN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742"/>
    <s v="IBIS STYLES ROUEN PARC EXPO"/>
    <x v="2"/>
    <s v="01/12/1983"/>
    <n v="75"/>
    <x v="0"/>
    <s v="29 AVENUE MARYSE BASTIÉ"/>
    <s v="-"/>
    <s v="-"/>
    <x v="63"/>
    <s v="SAINT ETIENNE DU ROUVRAY"/>
    <s v="1.058764"/>
    <s v="49.391829"/>
    <s v="Centre ville"/>
    <d v="2025-01-01T00:00:00"/>
    <d v="2025-01-01T00:00:00"/>
    <s v="Franchisee"/>
    <s v="GROUPE SD2P"/>
    <s v="Ronan LE MEU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747"/>
    <s v="NOVOTEL PARIS LA DEFENSE"/>
    <x v="3"/>
    <s v="01/08/1984"/>
    <n v="280"/>
    <x v="5"/>
    <s v="2 BOULEVARD DE NEUILLY"/>
    <s v="PARIS LA DÉFENSE 1 CEDEX"/>
    <s v="-"/>
    <x v="141"/>
    <s v="LA DEFENSE"/>
    <s v="2.253039"/>
    <s v="48.88805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0"/>
    <s v="No"/>
    <s v="Yes"/>
    <n v="9"/>
    <s v="-"/>
    <n v="0"/>
    <s v="-"/>
    <n v="0.5"/>
    <n v="0.5"/>
    <n v="0.4"/>
    <n v="0.6"/>
  </r>
  <r>
    <s v="H0749"/>
    <s v="IBIS NICE AEROPORT PROMENADE"/>
    <x v="0"/>
    <s v="01/01/1982"/>
    <n v="128"/>
    <x v="1"/>
    <s v="359 PROMENADE DES ANGLAIS"/>
    <s v="-"/>
    <s v="-"/>
    <x v="142"/>
    <s v="NICE"/>
    <s v="7.224154"/>
    <s v="43.671255"/>
    <s v="Centre ville"/>
    <d v="2025-01-01T00:00:00"/>
    <d v="2025-01-01T00:00:00"/>
    <s v="Franchisee"/>
    <s v="SOHOMA"/>
    <s v="Marion BOROT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750"/>
    <s v="IBIS SAINTES"/>
    <x v="0"/>
    <s v="01/03/1984"/>
    <n v="71"/>
    <x v="0"/>
    <s v="1 RUE DE LA CÔTE DE BEAUTÉ"/>
    <s v="-"/>
    <s v="-"/>
    <x v="143"/>
    <s v="SAINTES"/>
    <s v="-0.669951"/>
    <s v="45.746833"/>
    <s v="Centre ville"/>
    <d v="2025-01-01T00:00:00"/>
    <d v="2025-01-01T00:00:00"/>
    <s v="Franchisee"/>
    <s v="ALEXANDRE CADENE"/>
    <s v="Jerome LANTERNI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751"/>
    <s v="IBIS STYLES PARIS REPUBLIQUE"/>
    <x v="2"/>
    <s v="01/10/1983"/>
    <n v="70"/>
    <x v="0"/>
    <s v="9 RUE LEON JOUHAUX"/>
    <s v="-"/>
    <s v="-"/>
    <x v="144"/>
    <s v="PARIS"/>
    <s v="2.364099"/>
    <s v="48.86914"/>
    <s v="Centre ville"/>
    <d v="2025-01-01T00:00:00"/>
    <d v="2025-01-01T00:00:00"/>
    <s v="Managed"/>
    <s v="ACCORINVEST FRANCE"/>
    <s v="Thibault FREMON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0752"/>
    <s v="IBIS EVRY-COURCOURONNES"/>
    <x v="0"/>
    <s v="01/04/1984"/>
    <n v="90"/>
    <x v="0"/>
    <s v="1 AVENUE DU LAC"/>
    <s v="PARC TERTIAIRE DU BOIS BRIARD"/>
    <s v="COURCOURONNES"/>
    <x v="145"/>
    <s v="EVRY"/>
    <s v="2.420983"/>
    <s v="48.619527"/>
    <s v="Centre ville"/>
    <d v="2025-01-01T00:00:00"/>
    <d v="2025-01-01T00:00:00"/>
    <s v="Managed"/>
    <s v="ACCORINVEST FRANCE"/>
    <s v="Laurence PEREIRA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756"/>
    <s v="IBIS METZ CENTRE GARE"/>
    <x v="0"/>
    <s v="01/01/1984"/>
    <n v="72"/>
    <x v="0"/>
    <s v="3 BIS RUE VAUBAN"/>
    <s v="-"/>
    <s v="-"/>
    <x v="91"/>
    <s v="METZ"/>
    <s v="6.178661"/>
    <s v="49.111027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771"/>
    <s v="IBIS PARIS LA DEFENSE CENTRE"/>
    <x v="0"/>
    <s v="15/06/1984"/>
    <n v="286"/>
    <x v="5"/>
    <s v="4 BOULEVARD DE NEUILLY"/>
    <s v="LA DÉFENSE 1 - PONT DE NEUILLY"/>
    <s v="PARIS LA DEFENSE"/>
    <x v="146"/>
    <s v="COURBEVOIE"/>
    <s v="2.251559"/>
    <s v="48.888012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776"/>
    <s v="IBIS AULNAY PARIS NORD EXPO"/>
    <x v="0"/>
    <s v="01/09/1997"/>
    <n v="70"/>
    <x v="0"/>
    <s v="ROUTE NATIONALE 370"/>
    <s v="CARREFOUR DE L'EUROPE"/>
    <s v="-"/>
    <x v="32"/>
    <s v="AULNAY SOUS BOIS"/>
    <s v="2.485703"/>
    <s v="48.952419"/>
    <s v="Centre ville"/>
    <d v="2025-01-01T00:00:00"/>
    <d v="2025-01-01T00:00:00"/>
    <s v="Franchisee"/>
    <s v="FAMILLE BOULLON"/>
    <s v="Thomas COSTE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778"/>
    <s v="IBIS LYON GERLAND MUSEE"/>
    <x v="0"/>
    <s v="01/06/1984"/>
    <n v="129"/>
    <x v="1"/>
    <s v="68 AVENUE LECLERC"/>
    <s v="LES BERGES DU RHONE"/>
    <s v="-"/>
    <x v="83"/>
    <s v="LYON"/>
    <s v="4.822805"/>
    <s v="45.733239"/>
    <s v="Centre ville"/>
    <d v="2025-01-01T00:00:00"/>
    <d v="2025-01-01T00:00:00"/>
    <s v="Franchisee"/>
    <s v="SOFIPARC"/>
    <s v="Katia GARNIER"/>
    <x v="0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0779"/>
    <s v="IBIS LYON NORD"/>
    <x v="0"/>
    <s v="01/06/1984"/>
    <n v="82"/>
    <x v="0"/>
    <s v="5 ALLÉE DU CAMPING INTERNATIONAL"/>
    <s v="PORTE DE LYON"/>
    <s v="-"/>
    <x v="147"/>
    <s v="DARDILLY"/>
    <s v="4.760813"/>
    <s v="45.820393"/>
    <s v="Centre ville"/>
    <d v="2025-01-01T00:00:00"/>
    <d v="2025-01-01T00:00:00"/>
    <s v="Franchisee"/>
    <s v="FAMILLE DELETTRE"/>
    <s v="Katia GARNIER"/>
    <x v="0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0785"/>
    <s v="NOVOTEL PARIS LES HALLES"/>
    <x v="3"/>
    <s v="01/05/1985"/>
    <n v="285"/>
    <x v="5"/>
    <s v="8 PLACE MARGUERITE DE NAVARRE"/>
    <s v="-"/>
    <s v="-"/>
    <x v="148"/>
    <s v="PARIS"/>
    <s v="2.346531"/>
    <s v="48.86053"/>
    <s v="Centre ville"/>
    <d v="2025-01-01T00:00:00"/>
    <d v="2025-01-01T00:00:00"/>
    <s v="Managed"/>
    <s v="SHPH"/>
    <s v="Olivier BRISSARD"/>
    <x v="1"/>
    <n v="1.5"/>
    <n v="0.7"/>
    <s v="January"/>
    <n v="0.6"/>
    <s v="August"/>
    <n v="0.8"/>
    <x v="2"/>
    <x v="0"/>
    <s v="No"/>
    <s v="Yes"/>
    <n v="8"/>
    <n v="1"/>
    <n v="0"/>
    <s v="-"/>
    <n v="0.5"/>
    <n v="0.5"/>
    <n v="0.4"/>
    <n v="0.6"/>
  </r>
  <r>
    <s v="H0786"/>
    <s v="IBIS LYON CENTRE"/>
    <x v="0"/>
    <s v="01/01/1966"/>
    <n v="54"/>
    <x v="0"/>
    <s v="51 RUE DE L'UNIVERSITÉ"/>
    <s v="-"/>
    <s v="-"/>
    <x v="83"/>
    <s v="LYON"/>
    <s v="4.843029"/>
    <s v="45.748682"/>
    <s v="Centre ville"/>
    <d v="2025-01-01T00:00:00"/>
    <d v="2025-01-01T00:00:00"/>
    <s v="Franchisee"/>
    <s v="PIERRE GRENIER"/>
    <s v="Katia GA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795"/>
    <s v="IBIS DEAUVILLE CENTRE"/>
    <x v="0"/>
    <s v="01/04/1985"/>
    <n v="95"/>
    <x v="0"/>
    <s v="9 QUAI DE LA MARINE"/>
    <s v="-"/>
    <s v="-"/>
    <x v="149"/>
    <s v="DEAUVILLE"/>
    <s v="0.080602"/>
    <s v="49.360397"/>
    <s v="Centre ville"/>
    <d v="2025-01-01T00:00:00"/>
    <d v="2025-01-01T00:00:00"/>
    <s v="Franchisee"/>
    <s v="GERARD BERTOUT"/>
    <s v="Ronan LE MEU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797"/>
    <s v="IBIS SALON DE PROVENCE"/>
    <x v="0"/>
    <s v="01/01/1985"/>
    <n v="66"/>
    <x v="0"/>
    <s v="752 AVENUE DU 18 JUIN 1940"/>
    <s v="-"/>
    <s v="-"/>
    <x v="150"/>
    <s v="SALON DE PROVENCE"/>
    <s v="5.114489"/>
    <s v="43.628067"/>
    <s v="Centre ville"/>
    <d v="2025-01-01T00:00:00"/>
    <d v="2025-01-01T00:00:00"/>
    <s v="Franchisee"/>
    <s v="CASTELLET HOSPITALITY"/>
    <s v="Alexandra LAUNAY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0798"/>
    <s v="IBIS TOULOUSE BLAGNAC AEROPORT"/>
    <x v="0"/>
    <s v="01/02/1985"/>
    <n v="113"/>
    <x v="1"/>
    <s v="80 AVENUE DU PARC"/>
    <s v="ROND-POINT MAURICE BELLONTE"/>
    <s v="-"/>
    <x v="151"/>
    <s v="BLAGNAC"/>
    <s v="1.384711"/>
    <s v="43.627228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801"/>
    <s v="IBIS SAINT ETIENNE LA TERRASSE"/>
    <x v="0"/>
    <s v="01/04/1985"/>
    <n v="85"/>
    <x v="0"/>
    <s v="35 PLACE MASSENET"/>
    <s v="-"/>
    <s v="-"/>
    <x v="152"/>
    <s v="SAINT ETIENNE"/>
    <s v="4.377537"/>
    <s v="45.467226"/>
    <s v="Centre ville"/>
    <d v="2025-01-01T00:00:00"/>
    <d v="2025-01-01T00:00:00"/>
    <s v="Franchisee"/>
    <s v="FAMILLE HENNEVEUX"/>
    <s v="Bello DIALLO"/>
    <x v="0"/>
    <n v="1.5"/>
    <n v="0.7"/>
    <s v="January"/>
    <n v="0.6"/>
    <s v="August"/>
    <n v="0.8"/>
    <x v="0"/>
    <x v="0"/>
    <s v="No"/>
    <s v="Yes"/>
    <n v="9"/>
    <s v="-"/>
    <n v="0"/>
    <n v="1"/>
    <n v="0.5"/>
    <n v="0.5"/>
    <n v="0.4"/>
    <n v="0.6"/>
  </r>
  <r>
    <s v="H0802"/>
    <s v="MERCURE LILLE CENTRE GD PLACE"/>
    <x v="1"/>
    <s v="01/01/1903"/>
    <n v="101"/>
    <x v="1"/>
    <s v="2 BOULEVARD CARNOT"/>
    <s v="-"/>
    <s v="-"/>
    <x v="153"/>
    <s v="LILLE"/>
    <s v="3.065183"/>
    <s v="50.638104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803"/>
    <s v="IBIS PARIS MAINE MONTPARNASSE"/>
    <x v="0"/>
    <s v="01/05/1985"/>
    <n v="102"/>
    <x v="1"/>
    <s v="160 RUE DU CHÂTEAU"/>
    <s v="-"/>
    <s v="-"/>
    <x v="9"/>
    <s v="PARIS"/>
    <s v="2.322892"/>
    <s v="48.833711"/>
    <s v="Centre ville"/>
    <d v="2025-01-01T00:00:00"/>
    <d v="2025-01-01T00:00:00"/>
    <s v="Franchisee"/>
    <s v="ANDRE GURGUI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811"/>
    <s v="IBIS REIMS TINQUEUX"/>
    <x v="0"/>
    <s v="01/03/1985"/>
    <n v="74"/>
    <x v="0"/>
    <s v="50 ROUTE DES SOISSONS"/>
    <s v="AUTOROUTE A4 A26"/>
    <s v="BP 100"/>
    <x v="154"/>
    <s v="TINQUEUX"/>
    <s v="3.977233"/>
    <s v="49.252167"/>
    <s v="Centre ville"/>
    <d v="2025-01-01T00:00:00"/>
    <d v="2025-01-01T00:00:00"/>
    <s v="Franchisee"/>
    <s v="ARNAUD FAYET"/>
    <s v="Benoit DUCH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814"/>
    <s v="IBIS BRIVE CENTRE"/>
    <x v="0"/>
    <s v="01/05/1985"/>
    <n v="61"/>
    <x v="0"/>
    <s v="32 RUE MARCELIN ROCHE"/>
    <s v="-"/>
    <s v="-"/>
    <x v="155"/>
    <s v="BRIVE"/>
    <s v="1.529093"/>
    <s v="45.164818"/>
    <s v="Centre ville"/>
    <d v="2025-01-01T00:00:00"/>
    <d v="2025-01-01T00:00:00"/>
    <s v="Franchisee"/>
    <s v="HENRY GAUZE"/>
    <s v="Dominique CHEVANC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815"/>
    <s v="IBIS STYLES ROISSY CDG"/>
    <x v="2"/>
    <s v="01/01/1997"/>
    <n v="309"/>
    <x v="2"/>
    <s v="2 AVENUE HEINZ GLOOR"/>
    <s v="-"/>
    <s v="-"/>
    <x v="156"/>
    <s v="ROISSY"/>
    <e v="#N/A"/>
    <e v="#N/A"/>
    <s v="Centre ville"/>
    <d v="2025-01-01T00:00:00"/>
    <d v="2025-01-01T00:00:00"/>
    <s v="Franchisee"/>
    <s v="FERRE HOTELS"/>
    <s v="Sophie CHOLLON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816"/>
    <s v="IBIS EGLETONS"/>
    <x v="0"/>
    <s v="01/05/1985"/>
    <n v="41"/>
    <x v="4"/>
    <s v="39 ROUTE DU LAC"/>
    <s v="-"/>
    <s v="-"/>
    <x v="157"/>
    <s v="EGLETONS"/>
    <s v="2.058477"/>
    <s v="45.417732"/>
    <s v="Centre ville"/>
    <d v="2025-01-01T00:00:00"/>
    <d v="2025-01-01T00:00:00"/>
    <s v="Franchisee"/>
    <s v="FAMILLE WILLEMS"/>
    <s v="Dominique CHEVANC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819"/>
    <s v="IBIS BOURGES CENTRE"/>
    <x v="0"/>
    <s v="01/06/1985"/>
    <n v="86"/>
    <x v="0"/>
    <s v="RUE VLADIMIRJANKELEVITCH"/>
    <s v="QUARTIER DU PRADO"/>
    <s v="-"/>
    <x v="158"/>
    <s v="BOURGES"/>
    <s v="2.387984"/>
    <s v="47.081692"/>
    <s v="Centre ville"/>
    <d v="2025-01-01T00:00:00"/>
    <d v="2025-01-01T00:00:00"/>
    <s v="Franchisee"/>
    <s v="GEST HOTEL"/>
    <s v="Bruno COQUAZ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822"/>
    <s v="IBIS BIARRITZ ANGLET AEROPORT"/>
    <x v="0"/>
    <s v="01/06/1985"/>
    <n v="83"/>
    <x v="0"/>
    <s v="64 AVENUE D'ESPAGNE"/>
    <s v="-"/>
    <s v="-"/>
    <x v="159"/>
    <s v="ANGLET"/>
    <s v="-1.524242"/>
    <s v="43.477785"/>
    <s v="Centre ville"/>
    <d v="2025-01-01T00:00:00"/>
    <d v="2025-01-01T00:00:00"/>
    <s v="Franchisee"/>
    <s v="PA-HOLDING"/>
    <s v="Jerome LANTE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828"/>
    <s v="IBIS TOULON LA SEYNE SUR MER"/>
    <x v="0"/>
    <s v="01/07/1985"/>
    <n v="63"/>
    <x v="0"/>
    <s v="80 CHEMIN DE LA CAPELLANE"/>
    <s v="SIX-FOURS-LES-PLAGES"/>
    <s v="-"/>
    <x v="70"/>
    <s v="LA SEYNE SUR MER"/>
    <s v="5.849125"/>
    <s v="43.121723"/>
    <s v="Centre ville"/>
    <d v="2025-01-01T00:00:00"/>
    <d v="2025-01-01T00:00:00"/>
    <s v="Franchisee"/>
    <s v="LAURENCE DONAT"/>
    <s v="Marion BOROT"/>
    <x v="0"/>
    <n v="1.5"/>
    <n v="0.7"/>
    <s v="January"/>
    <n v="0.6"/>
    <s v="August"/>
    <n v="0.8"/>
    <x v="0"/>
    <x v="1"/>
    <s v="No"/>
    <s v="Yes"/>
    <n v="2"/>
    <s v="-"/>
    <n v="0"/>
    <n v="1"/>
    <n v="0.5"/>
    <n v="0.5"/>
    <n v="0.4"/>
    <n v="0.6"/>
  </r>
  <r>
    <s v="H0829"/>
    <s v="IBIS AUXERRE SUD"/>
    <x v="0"/>
    <s v="01/07/1985"/>
    <n v="68"/>
    <x v="0"/>
    <s v="AUTOROUTE A6"/>
    <s v="AIRE DU SOLEIL LEVANT"/>
    <s v="-"/>
    <x v="160"/>
    <s v="VENOY"/>
    <s v="3.670382"/>
    <s v="47.790932"/>
    <s v="Centre ville"/>
    <d v="2025-01-01T00:00:00"/>
    <d v="2025-01-01T00:00:00"/>
    <s v="Franchisee"/>
    <s v="AREAS"/>
    <s v="Bruno COQUA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831"/>
    <s v="MERCURE EPINAL CENTRE"/>
    <x v="1"/>
    <s v="01/01/1882"/>
    <n v="61"/>
    <x v="0"/>
    <s v="13 PLACE EMILE STEIN"/>
    <s v="BP 242"/>
    <s v="-"/>
    <x v="161"/>
    <s v="EPINAL"/>
    <s v="6.445488"/>
    <s v="48.173116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0"/>
    <s v="No"/>
    <s v="Yes"/>
    <n v="3"/>
    <n v="2"/>
    <n v="1"/>
    <n v="1"/>
    <n v="0.5"/>
    <n v="0.5"/>
    <n v="0.4"/>
    <n v="0.6"/>
  </r>
  <r>
    <s v="H0848"/>
    <s v="IBIS ANGERS CENTRE CHATEAU"/>
    <x v="0"/>
    <s v="01/07/1985"/>
    <n v="95"/>
    <x v="0"/>
    <s v="RUE DE LA POISSONNERIE"/>
    <s v="-"/>
    <s v="-"/>
    <x v="86"/>
    <s v="ANGERS"/>
    <s v="-0.555958"/>
    <s v="47.47283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850"/>
    <s v="BORDEAUX PESSAC ROUTE DES VINS"/>
    <x v="0"/>
    <s v="16/03/1986"/>
    <n v="87"/>
    <x v="0"/>
    <s v="8 AVENUE ANTOINE BECQUEREL"/>
    <s v="-"/>
    <s v="-"/>
    <x v="162"/>
    <s v="PESSAC"/>
    <s v="-0.645495"/>
    <s v="44.78735"/>
    <s v="Centre ville"/>
    <d v="2025-01-01T00:00:00"/>
    <d v="2025-01-01T00:00:00"/>
    <s v="Franchisee"/>
    <s v="GRAPE HOSPITALITY"/>
    <s v="Jerome LANTERNIER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851"/>
    <s v="IBIS PARIS CRETEIL"/>
    <x v="0"/>
    <s v="01/09/1986"/>
    <n v="84"/>
    <x v="0"/>
    <s v="14 RUE  BASSE QUINTE"/>
    <s v="CARREFOUR POMPADOUR"/>
    <s v="Z.A. GRANDS MARAIS"/>
    <x v="27"/>
    <s v="CRETEIL"/>
    <s v="2.441828"/>
    <s v="48.774598"/>
    <s v="Centre ville"/>
    <d v="2025-01-01T00:00:00"/>
    <d v="2025-01-01T00:00:00"/>
    <s v="Franchisee"/>
    <s v="FRANCK BUCCIO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852"/>
    <s v="IBIS EPERNAY CENTRE VILLE"/>
    <x v="0"/>
    <s v="01/03/1987"/>
    <n v="66"/>
    <x v="0"/>
    <s v="19 RUE CHOCATELLE"/>
    <s v="PLACE BERNARD STASI"/>
    <s v="-"/>
    <x v="163"/>
    <s v="EPERNAY"/>
    <s v="3.952898"/>
    <s v="49.042244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855"/>
    <s v="IBIS NANTES LA BEAUJOIRE"/>
    <x v="0"/>
    <s v="01/09/1985"/>
    <n v="81"/>
    <x v="0"/>
    <s v="5 RUE DU MOULIN DE LA HALVEQUE"/>
    <s v="-"/>
    <s v="-"/>
    <x v="164"/>
    <s v="NANTES"/>
    <s v="-1.516808"/>
    <s v="47.254202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0856"/>
    <s v="IBIS PROVINS"/>
    <x v="0"/>
    <s v="01/01/1987"/>
    <n v="49"/>
    <x v="4"/>
    <s v="77 AVENUE DU GÉNÉRAL DE GAULLE"/>
    <s v="-"/>
    <s v="-"/>
    <x v="165"/>
    <s v="PROVINS"/>
    <s v="3.281769"/>
    <s v="48.557488"/>
    <s v="Centre ville"/>
    <d v="2025-01-01T00:00:00"/>
    <d v="2025-01-01T00:00:00"/>
    <s v="Franchisee"/>
    <s v="FAMILLE BOULLON"/>
    <s v="Sophie CHOLLON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858"/>
    <s v="IBIS SAINT NAZAIRE TRIGNAC"/>
    <x v="0"/>
    <s v="01/01/1986"/>
    <n v="62"/>
    <x v="0"/>
    <s v="5 RUE DE LA FONTAINE AU BRUN"/>
    <s v="-"/>
    <s v="-"/>
    <x v="166"/>
    <s v="TRIGNAC"/>
    <s v="-2.20882"/>
    <s v="47.300133"/>
    <s v="Centre ville"/>
    <d v="2025-01-01T00:00:00"/>
    <d v="2025-01-01T00:00:00"/>
    <s v="Franchisee"/>
    <s v="PIERRE PAROUX"/>
    <s v="Jean-Luc RABAULT"/>
    <x v="0"/>
    <n v="1.5"/>
    <n v="0.7"/>
    <s v="January"/>
    <n v="0.6"/>
    <s v="August"/>
    <n v="0.8"/>
    <x v="0"/>
    <x v="0"/>
    <s v="No"/>
    <s v="Yes"/>
    <s v="-"/>
    <s v="-"/>
    <n v="0"/>
    <n v="1"/>
    <n v="0.5"/>
    <n v="0.5"/>
    <n v="0.4"/>
    <n v="0.6"/>
  </r>
  <r>
    <s v="H0861"/>
    <s v="IBIS MONTARGIS"/>
    <x v="0"/>
    <s v="01/04/1990"/>
    <n v="59"/>
    <x v="0"/>
    <s v="2  PLACE VICTOR HUGO"/>
    <s v="-"/>
    <s v="-"/>
    <x v="167"/>
    <s v="MONTARGIS"/>
    <s v="2.732248"/>
    <s v="47.994987"/>
    <s v="Centre ville"/>
    <d v="2025-01-01T00:00:00"/>
    <d v="2025-01-01T00:00:00"/>
    <s v="Franchisee"/>
    <s v="PA-HOLDING"/>
    <s v="Bruno COQUAZ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862"/>
    <s v="IBIS ORLEANS CENTRE GARE"/>
    <x v="0"/>
    <s v="01/04/1989"/>
    <n v="67"/>
    <x v="0"/>
    <s v="17 AVENUE DE PARIS"/>
    <s v="-"/>
    <s v="-"/>
    <x v="90"/>
    <s v="ORLEANS"/>
    <s v="1.904036"/>
    <s v="47.908381"/>
    <s v="Centre ville"/>
    <d v="2025-01-01T00:00:00"/>
    <d v="2025-01-01T00:00:00"/>
    <s v="Franchisee"/>
    <s v="ATALANTE"/>
    <s v="Bruno COQUA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863"/>
    <s v="IBIS GARE DU NORD LA FAYETTE"/>
    <x v="0"/>
    <s v="01/02/1986"/>
    <n v="70"/>
    <x v="0"/>
    <s v="122 RUE LA FAYETTE"/>
    <s v="-"/>
    <s v="-"/>
    <x v="144"/>
    <s v="PARIS"/>
    <s v="2.352679"/>
    <s v="48.878117"/>
    <s v="Centre ville"/>
    <d v="2025-01-01T00:00:00"/>
    <d v="2025-01-01T00:00:00"/>
    <s v="Managed"/>
    <s v="ACCORINVEST FRANCE"/>
    <s v="Thibault FREMON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869"/>
    <s v="MERCURE CAEN CTRE PLAISANCE"/>
    <x v="1"/>
    <s v="14/04/1986"/>
    <n v="126"/>
    <x v="1"/>
    <s v="6 PLACE COURTONNE"/>
    <s v="CS 43086"/>
    <s v="CAEN CEDEX 2"/>
    <x v="45"/>
    <s v="CAEN"/>
    <s v="-0.355551"/>
    <s v="49.184151"/>
    <s v="Centre ville"/>
    <d v="2025-01-01T00:00:00"/>
    <d v="2025-01-01T00:00:00"/>
    <s v="Franchisee"/>
    <s v="GROUPE SD2P"/>
    <s v="Ronan LE MEUR"/>
    <x v="0"/>
    <n v="1.5"/>
    <n v="0.7"/>
    <s v="January"/>
    <n v="0.6"/>
    <s v="August"/>
    <n v="0.8"/>
    <x v="0"/>
    <x v="1"/>
    <s v="No"/>
    <s v="Yes"/>
    <n v="11"/>
    <s v="-"/>
    <n v="0"/>
    <s v="-"/>
    <n v="0.5"/>
    <n v="0.5"/>
    <n v="0.4"/>
    <n v="0.6"/>
  </r>
  <r>
    <s v="H0873"/>
    <s v="MERCURE LORIENT CENTRE"/>
    <x v="1"/>
    <s v="01/02/1976"/>
    <n v="58"/>
    <x v="0"/>
    <s v="31 PLACE JULES FERRY"/>
    <s v="-"/>
    <s v="-"/>
    <x v="168"/>
    <s v="LORIENT"/>
    <s v="-3.363031"/>
    <s v="47.74552"/>
    <s v="Centre ville"/>
    <d v="2025-01-01T00:00:00"/>
    <d v="2025-01-01T00:00:00"/>
    <s v="Franchisee"/>
    <s v="FAMILLE KERJOUAN"/>
    <s v="Jean-Luc RABAULT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0881"/>
    <s v="IBIS LIMOGES CENTRE"/>
    <x v="0"/>
    <s v="01/05/1986"/>
    <n v="68"/>
    <x v="0"/>
    <s v="6 BOULEVARD VICTOR HUGO"/>
    <s v="-"/>
    <s v="-"/>
    <x v="169"/>
    <s v="LIMOGES"/>
    <s v="1.25537"/>
    <s v="45.832559"/>
    <s v="Centre ville"/>
    <d v="2025-01-01T00:00:00"/>
    <d v="2025-01-01T00:00:00"/>
    <s v="Franchisee"/>
    <s v="DENIS FAUQUE"/>
    <s v="Dominique CHEVANC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882"/>
    <s v="IBIS AVRANCHES MONT ST MICHEL"/>
    <x v="0"/>
    <s v="01/08/1984"/>
    <n v="66"/>
    <x v="0"/>
    <s v="47 RUE DES ESTUAIRES"/>
    <s v="ZA CROMEL"/>
    <s v="-"/>
    <x v="170"/>
    <s v="SAINT QUENTIN SUR LE HOMME"/>
    <s v="-1.347292"/>
    <s v="48.649666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890"/>
    <s v="IBIS EPINAL CENTRE VILLE"/>
    <x v="0"/>
    <s v="01/11/1986"/>
    <n v="60"/>
    <x v="0"/>
    <s v="21 QUAI MARECHAL DE CONTADES"/>
    <s v="-"/>
    <s v="-"/>
    <x v="171"/>
    <s v="EPINAL"/>
    <s v="6.449048"/>
    <s v="48.177142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892"/>
    <s v="IBIS NANTES CENTRE GARE SUD"/>
    <x v="0"/>
    <s v="01/01/1987"/>
    <n v="104"/>
    <x v="1"/>
    <s v="3 ALLEE BACO"/>
    <s v="-"/>
    <s v="-"/>
    <x v="172"/>
    <s v="NANTES"/>
    <s v="-1.54694"/>
    <s v="47.215202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0900"/>
    <s v="IBIS PARIS CANAL SAINT MARTIN"/>
    <x v="0"/>
    <s v="01/03/1987"/>
    <n v="50"/>
    <x v="0"/>
    <s v="12 RUE LOUIS BLANC"/>
    <s v="-"/>
    <s v="-"/>
    <x v="144"/>
    <s v="PARIS"/>
    <s v="2.368486"/>
    <s v="48.879274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901"/>
    <s v="IBIS LILLE CENTRE GARES"/>
    <x v="0"/>
    <s v="01/01/1997"/>
    <n v="154"/>
    <x v="3"/>
    <s v="29 AV CHARLES ST-VENANT"/>
    <s v="LE FORUM"/>
    <s v="-"/>
    <x v="153"/>
    <s v="LILLE"/>
    <s v="3.070861"/>
    <s v="50.634648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0902"/>
    <s v="IBIS LILLE CENTRE GRAND PLACE"/>
    <x v="0"/>
    <s v="01/01/1985"/>
    <n v="59"/>
    <x v="0"/>
    <s v="21 RUE LEPELLETIER"/>
    <s v="-"/>
    <s v="-"/>
    <x v="153"/>
    <s v="LILLE"/>
    <s v="3.063061"/>
    <s v="50.638255"/>
    <s v="Centre ville"/>
    <d v="2025-01-01T00:00:00"/>
    <d v="2025-01-01T00:00:00"/>
    <s v="Franchisee"/>
    <s v="CHRISTIAN DIJOUX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0903"/>
    <s v="MERCURE PARIS 15 P VERSAILLES"/>
    <x v="1"/>
    <s v="01/01/1987"/>
    <n v="54"/>
    <x v="0"/>
    <s v="6  RUE SAINT LAMBERT"/>
    <s v="-"/>
    <s v="-"/>
    <x v="173"/>
    <s v="PARIS"/>
    <s v="2.290459"/>
    <s v="48.838385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n v="5"/>
    <s v="-"/>
    <n v="0"/>
    <s v="-"/>
    <n v="0.5"/>
    <n v="0.5"/>
    <n v="0.4"/>
    <n v="0.6"/>
  </r>
  <r>
    <s v="H0905"/>
    <s v="MERCURE PARIS GARE MONTPARNASSE"/>
    <x v="1"/>
    <s v="01/01/1987"/>
    <n v="188"/>
    <x v="3"/>
    <s v="20 RUE DE LA GAITÉ"/>
    <s v="-"/>
    <s v="-"/>
    <x v="9"/>
    <s v="PARIS"/>
    <s v="2.323791"/>
    <s v="48.839752"/>
    <s v="Centre ville"/>
    <d v="2025-01-01T00:00:00"/>
    <d v="2025-01-01T00:00:00"/>
    <s v="Managed"/>
    <s v="ACCORINVEST FRANCE"/>
    <s v="Philippe JAUSSELY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0906"/>
    <s v="NOVOTEL TOULOUSE CENTRE"/>
    <x v="3"/>
    <s v="16/10/1987"/>
    <n v="135"/>
    <x v="1"/>
    <s v="5  PLACE ALFONSE JOURDAIN"/>
    <s v="-"/>
    <s v="-"/>
    <x v="19"/>
    <s v="TOULOUSE"/>
    <s v="1.431439"/>
    <s v="43.611185999999996"/>
    <s v="Centre ville"/>
    <d v="2025-01-01T00:00:00"/>
    <d v="2025-01-01T00:00:00"/>
    <s v="Managed"/>
    <s v="ACCORINVEST FRANCE"/>
    <s v="Philippe DUCROCQ"/>
    <x v="1"/>
    <n v="1.5"/>
    <n v="0.7"/>
    <s v="January"/>
    <n v="0.6"/>
    <s v="August"/>
    <n v="0.8"/>
    <x v="0"/>
    <x v="0"/>
    <s v="No"/>
    <s v="Yes"/>
    <n v="5"/>
    <n v="1"/>
    <n v="0"/>
    <n v="1"/>
    <n v="0.5"/>
    <n v="0.5"/>
    <n v="0.4"/>
    <n v="0.6"/>
  </r>
  <r>
    <s v="H0908"/>
    <s v="IBIS AMBOISE"/>
    <x v="0"/>
    <s v="09/04/1987"/>
    <n v="70"/>
    <x v="0"/>
    <s v="Z.I. LA BOITARDIÈRE"/>
    <s v="CHEMIN DU ROY (INDIQUER RUE ABEL GODY DANS GPS)"/>
    <s v="-"/>
    <x v="38"/>
    <s v="AMBOISE"/>
    <s v="1.018435"/>
    <s v="47.414404"/>
    <s v="Centre ville"/>
    <d v="2025-01-01T00:00:00"/>
    <d v="2025-01-01T00:00:00"/>
    <s v="Franchisee"/>
    <s v="JEAN-PIERRE BERTOLINO"/>
    <s v="Bruno COQUA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909"/>
    <s v="MERCURE QUIBERON"/>
    <x v="1"/>
    <s v="01/06/1987"/>
    <n v="80"/>
    <x v="0"/>
    <s v="AVENUE DES MARRONNIERS"/>
    <s v="POINTE DU GOULVARS"/>
    <s v="-"/>
    <x v="174"/>
    <s v="QUIBERON"/>
    <s v="-3.105746"/>
    <s v="47.478383"/>
    <s v="Centre ville"/>
    <d v="2025-01-01T00:00:00"/>
    <d v="2025-01-01T00:00:00"/>
    <s v="Franchisee"/>
    <s v="CLR HOTELS"/>
    <s v="Jean-Luc RABAULT"/>
    <x v="0"/>
    <n v="1.5"/>
    <n v="0.7"/>
    <s v="January"/>
    <n v="0.6"/>
    <s v="August"/>
    <n v="0.8"/>
    <x v="0"/>
    <x v="0"/>
    <s v="No"/>
    <s v="Yes"/>
    <s v="-"/>
    <s v="-"/>
    <n v="1"/>
    <n v="1"/>
    <n v="0.5"/>
    <n v="0.5"/>
    <n v="0.4"/>
    <n v="0.6"/>
  </r>
  <r>
    <s v="H0911"/>
    <s v="NOVOTEL MARSEILLE VIEUX PORT"/>
    <x v="3"/>
    <s v="01/06/1987"/>
    <n v="110"/>
    <x v="1"/>
    <s v="36 BOULEVARD CHARLES LIVON"/>
    <s v="-"/>
    <s v="-"/>
    <x v="175"/>
    <s v="MARSEILLE"/>
    <s v="5.360432"/>
    <s v="43.292263"/>
    <s v="Centre ville"/>
    <d v="2025-01-01T00:00:00"/>
    <d v="2025-01-01T00:00:00"/>
    <s v="Managed"/>
    <s v="ACCORINVEST FRANCE"/>
    <s v="Philippe DUCROCQ"/>
    <x v="1"/>
    <n v="1.5"/>
    <n v="0.7"/>
    <s v="January"/>
    <n v="0.6"/>
    <s v="August"/>
    <n v="0.8"/>
    <x v="0"/>
    <x v="0"/>
    <s v="No"/>
    <s v="Yes"/>
    <n v="6"/>
    <s v="-"/>
    <n v="1"/>
    <n v="1"/>
    <n v="0.5"/>
    <n v="0.5"/>
    <n v="0.4"/>
    <n v="0.6"/>
  </r>
  <r>
    <s v="H0914"/>
    <s v="IBIS STYLES LA ROCHELLE CENTRE"/>
    <x v="2"/>
    <s v="01/01/1987"/>
    <n v="82"/>
    <x v="0"/>
    <s v="4 RUE LÉONCE VIELJEUX"/>
    <s v="9 RUE CHEF DE VILLE VIA VERDUN"/>
    <s v="-"/>
    <x v="88"/>
    <s v="LA ROCHELLE"/>
    <s v="-1.153785"/>
    <s v="46.157924"/>
    <s v="Centre ville"/>
    <d v="2025-01-01T00:00:00"/>
    <d v="2025-01-01T00:00:00"/>
    <s v="Franchisee"/>
    <s v="CLR HOTELS"/>
    <s v="Jerome LANTERNI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918"/>
    <s v="NOVOTEL LILLE CENTRE"/>
    <x v="3"/>
    <s v="01/01/1986"/>
    <n v="104"/>
    <x v="1"/>
    <s v="116 RUE DE L'HOPITAL MILITAIRE"/>
    <s v="-"/>
    <s v="-"/>
    <x v="153"/>
    <s v="LILLE"/>
    <s v="3.058622"/>
    <s v="50.637001"/>
    <s v="Centre ville"/>
    <d v="2025-01-01T00:00:00"/>
    <d v="2025-01-01T00:00:00"/>
    <s v="Franchisee"/>
    <s v="GROUPE COVIVIO"/>
    <s v="Muriel JACQUELINE"/>
    <x v="0"/>
    <n v="1.5"/>
    <n v="0.7"/>
    <s v="January"/>
    <n v="0.6"/>
    <s v="August"/>
    <n v="0.8"/>
    <x v="0"/>
    <x v="0"/>
    <s v="No"/>
    <s v="Yes"/>
    <n v="4"/>
    <n v="1"/>
    <n v="0"/>
    <s v="-"/>
    <n v="0.5"/>
    <n v="0.5"/>
    <n v="0.4"/>
    <n v="0.6"/>
  </r>
  <r>
    <s v="H0920"/>
    <s v="IBIS BLOIS CENTRE CHATEAU"/>
    <x v="0"/>
    <s v="01/04/1987"/>
    <n v="56"/>
    <x v="0"/>
    <s v="3 RUE PORTE COTE"/>
    <s v="-"/>
    <s v="-"/>
    <x v="176"/>
    <s v="BLOIS"/>
    <s v="1.331255"/>
    <s v="47.586998"/>
    <s v="Centre ville"/>
    <d v="2025-01-01T00:00:00"/>
    <d v="2025-01-01T00:00:00"/>
    <s v="Franchisee"/>
    <s v="DAVID DONGAIS"/>
    <s v="Bruno COQUA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923"/>
    <s v="IBIS PARIS ITALIE TOLBIAC 13e"/>
    <x v="0"/>
    <s v="14/01/1988"/>
    <n v="60"/>
    <x v="0"/>
    <s v="177 RUE DE TOLBIAC"/>
    <s v="-"/>
    <s v="-"/>
    <x v="177"/>
    <s v="PARIS"/>
    <s v="2.352598"/>
    <s v="48.825818"/>
    <s v="Centre ville"/>
    <d v="2025-01-01T00:00:00"/>
    <d v="2025-01-01T00:00:00"/>
    <s v="Franchisee"/>
    <s v="COFIGAD - EME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925"/>
    <s v="IBIS ORANGE CENTRE"/>
    <x v="0"/>
    <s v="01/05/1987"/>
    <n v="72"/>
    <x v="0"/>
    <s v="32 RUE AGIS RIGORD"/>
    <s v="-"/>
    <s v="-"/>
    <x v="178"/>
    <s v="ORANGE (FR)"/>
    <s v="4.794007"/>
    <s v="44.136818"/>
    <s v="Centre ville"/>
    <d v="2025-01-01T00:00:00"/>
    <d v="2025-01-01T00:00:00"/>
    <s v="Franchisee"/>
    <s v="FAMILLE NOGIER"/>
    <s v="Jean-Claude FOUCHET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0927"/>
    <s v="IBIS THONON CENTRE"/>
    <x v="0"/>
    <s v="01/06/1987"/>
    <n v="67"/>
    <x v="0"/>
    <s v="2 TER AVENUE D'EVIAN"/>
    <s v="-"/>
    <s v="-"/>
    <x v="179"/>
    <s v="THONON LES BAINS"/>
    <s v="6.482019"/>
    <s v="46.374381"/>
    <s v="Centre ville"/>
    <d v="2025-01-01T00:00:00"/>
    <d v="2025-01-01T00:00:00"/>
    <s v="Franchisee"/>
    <s v="APARTNERS�CAPITAL"/>
    <s v="Bello DIALLO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928"/>
    <s v="IBIS CERGY PONTOISE LE PORT"/>
    <x v="0"/>
    <s v="01/01/1997"/>
    <n v="81"/>
    <x v="0"/>
    <s v="28 AVENUE DES GROUETTES"/>
    <s v="-"/>
    <s v="-"/>
    <x v="180"/>
    <s v="CERGY PONTOISE"/>
    <s v="2.069479"/>
    <s v="49.031399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929"/>
    <s v="IBIS CLERMONT FERRAND MONTFERR"/>
    <x v="0"/>
    <s v="01/07/1987"/>
    <n v="77"/>
    <x v="0"/>
    <s v="3 BOULEVARD  AMBROISE BRUGIERE"/>
    <s v="-"/>
    <s v="-"/>
    <x v="181"/>
    <s v="CLERMONT FERRAND"/>
    <s v="3.118197"/>
    <s v="45.79205"/>
    <s v="Centre ville"/>
    <d v="2025-01-01T00:00:00"/>
    <d v="2025-01-01T00:00:00"/>
    <s v="Franchisee"/>
    <s v="PA-HOLDING"/>
    <s v="Jean-Claude FOUCHET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0930"/>
    <s v="IBIS SAINT LO LA CHEVALERIE"/>
    <x v="0"/>
    <s v="01/07/1986"/>
    <n v="48"/>
    <x v="4"/>
    <s v="594 RUE JULES VALLÈS"/>
    <s v="PA LA CHEVALERIE"/>
    <s v="-"/>
    <x v="182"/>
    <s v="SAINT LO"/>
    <e v="#N/A"/>
    <e v="#N/A"/>
    <s v="Centre ville"/>
    <d v="2025-01-01T00:00:00"/>
    <d v="2025-01-01T00:00:00"/>
    <s v="Franchisee"/>
    <s v="FAMILLE CHOINARD"/>
    <s v="Jean-Francois STEBLER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0934"/>
    <s v="MERCURE PARIS BERCY BIBLIOTHEQ"/>
    <x v="1"/>
    <s v="01/01/1987"/>
    <n v="88"/>
    <x v="0"/>
    <s v="6 BOULEVARD VINCENT AURIOL"/>
    <s v="-"/>
    <s v="-"/>
    <x v="177"/>
    <s v="PARIS"/>
    <s v="2.373111"/>
    <s v="48.837457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0935"/>
    <s v="NOVOTEL PARIS CENTRE BERCY"/>
    <x v="3"/>
    <s v="21/09/1987"/>
    <n v="179"/>
    <x v="3"/>
    <s v="85 RUE DE BERCY"/>
    <s v="-"/>
    <s v="-"/>
    <x v="183"/>
    <s v="PARIS"/>
    <s v="2.380797"/>
    <s v="48.838944"/>
    <s v="Centre ville"/>
    <d v="2025-01-01T00:00:00"/>
    <d v="2025-01-01T00:00:00"/>
    <s v="Franchisee"/>
    <s v="FAMILLE BLANC"/>
    <s v="Pierre LAGRANGE"/>
    <x v="0"/>
    <n v="1.5"/>
    <n v="0.7"/>
    <s v="January"/>
    <n v="0.6"/>
    <s v="August"/>
    <n v="0.8"/>
    <x v="0"/>
    <x v="0"/>
    <s v="No"/>
    <s v="Yes"/>
    <n v="10"/>
    <s v="-"/>
    <n v="0"/>
    <s v="-"/>
    <n v="0.5"/>
    <n v="0.5"/>
    <n v="0.4"/>
    <n v="0.6"/>
  </r>
  <r>
    <s v="H0941"/>
    <s v="IBIS STYLES PARIS BERCY"/>
    <x v="2"/>
    <s v="01/09/1987"/>
    <n v="361"/>
    <x v="2"/>
    <s v="77 RUE DE BERCY"/>
    <s v="-"/>
    <s v="-"/>
    <x v="183"/>
    <s v="PARIS"/>
    <s v="2.381206"/>
    <s v="48.83859"/>
    <s v="Centre ville"/>
    <d v="2025-01-01T00:00:00"/>
    <d v="2025-01-01T00:00:00"/>
    <s v="Managed"/>
    <s v="GROUPE COVIVIO"/>
    <s v="Olivier BRISSARD"/>
    <x v="0"/>
    <n v="1.5"/>
    <n v="0.7"/>
    <s v="January"/>
    <n v="0.6"/>
    <s v="August"/>
    <n v="0.8"/>
    <x v="0"/>
    <x v="1"/>
    <s v="No"/>
    <s v="Yes"/>
    <n v="6"/>
    <s v="-"/>
    <n v="0"/>
    <s v="-"/>
    <n v="0.5"/>
    <n v="0.5"/>
    <n v="0.4"/>
    <n v="0.6"/>
  </r>
  <r>
    <s v="H0943"/>
    <s v="IBIS STRASBOURG CTR PETITE F."/>
    <x v="0"/>
    <s v="01/09/1987"/>
    <n v="98"/>
    <x v="0"/>
    <s v="18 RUE DU FAUBOURG NATIONAL"/>
    <s v="-"/>
    <s v="-"/>
    <x v="68"/>
    <s v="STRASBOURG"/>
    <s v="7.73724"/>
    <s v="48.582537"/>
    <s v="Centre ville"/>
    <d v="2025-01-01T00:00:00"/>
    <d v="2025-01-01T00:00:00"/>
    <s v="Franchisee"/>
    <s v="GROUPE SD2P"/>
    <s v="Christophe RUQUEBOE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944"/>
    <s v="IBIS AVIGNON CENTRE GARE"/>
    <x v="0"/>
    <s v="01/10/1987"/>
    <n v="98"/>
    <x v="0"/>
    <s v="42 BOULEVARD SAINT-ROCH"/>
    <s v="-"/>
    <s v="-"/>
    <x v="42"/>
    <s v="AVIGNON"/>
    <s v="4.807175"/>
    <s v="43.942413"/>
    <s v="Centre ville"/>
    <d v="2025-01-01T00:00:00"/>
    <d v="2025-01-01T00:00:00"/>
    <s v="Franchisee"/>
    <s v="ATALANTE"/>
    <s v="Jean-Claude FOUCHE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947"/>
    <s v="IBIS NEVERS"/>
    <x v="0"/>
    <s v="01/10/1987"/>
    <n v="56"/>
    <x v="0"/>
    <s v="RUE DU PLATEAU DE LA BONNE DAME"/>
    <s v="RN7"/>
    <s v="-"/>
    <x v="184"/>
    <s v="NEVERS"/>
    <s v="3.15951"/>
    <s v="46.981483"/>
    <s v="Centre ville"/>
    <d v="2025-01-01T00:00:00"/>
    <d v="2025-01-01T00:00:00"/>
    <s v="Franchisee"/>
    <s v="HPVA HOTELS"/>
    <s v="Bruno COQUAZ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0948"/>
    <s v="IBIS PARIS MEUDON VELIZY"/>
    <x v="0"/>
    <s v="01/10/1987"/>
    <n v="94"/>
    <x v="0"/>
    <s v="7 ROUTE DU COLONEL MARCEL"/>
    <s v="MORAINE"/>
    <s v="-"/>
    <x v="185"/>
    <s v="MEUDON LA FORET"/>
    <s v="2.219384"/>
    <s v="48.793495"/>
    <s v="Centre ville"/>
    <d v="2025-01-01T00:00:00"/>
    <d v="2025-01-01T00:00:00"/>
    <s v="Franchisee"/>
    <s v="BENJAMIN LARROUTIS"/>
    <s v="Pierre LAGRANGE"/>
    <x v="0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0950"/>
    <s v="IBIS BORDEAUX CENTRE MERIADECK"/>
    <x v="0"/>
    <s v="01/11/1987"/>
    <n v="210"/>
    <x v="6"/>
    <s v="35 COURS DU MARÉCHAL JUIN"/>
    <s v="-"/>
    <s v="-"/>
    <x v="186"/>
    <s v="BORDEAUX"/>
    <s v="-0.5834"/>
    <s v="44.836012"/>
    <s v="Centre ville"/>
    <d v="2025-01-01T00:00:00"/>
    <d v="2025-01-01T00:00:00"/>
    <s v="Franchisee"/>
    <s v="FAMILLE FARINES"/>
    <s v="Jerome LANTERNIER"/>
    <x v="0"/>
    <n v="1.5"/>
    <n v="0.7"/>
    <s v="January"/>
    <n v="0.6"/>
    <s v="August"/>
    <n v="0.8"/>
    <x v="0"/>
    <x v="0"/>
    <s v="No"/>
    <s v="Yes"/>
    <n v="11"/>
    <s v="-"/>
    <n v="0"/>
    <s v="-"/>
    <n v="0.5"/>
    <n v="0.5"/>
    <n v="0.4"/>
    <n v="0.6"/>
  </r>
  <r>
    <s v="H0951"/>
    <s v="IBIS LE HAVRE SUD HARFLEUR"/>
    <x v="0"/>
    <s v="01/10/1987"/>
    <n v="72"/>
    <x v="0"/>
    <s v="CLOS LABÉDOYÈRE"/>
    <s v="-"/>
    <s v="-"/>
    <x v="187"/>
    <s v="HARFLEUR"/>
    <s v="0.195522"/>
    <s v="49.503803"/>
    <s v="Centre ville"/>
    <d v="2025-01-01T00:00:00"/>
    <d v="2025-01-01T00:00:00"/>
    <s v="Franchisee"/>
    <s v="BRUNO MARION"/>
    <s v="Ronan LE MEU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952"/>
    <s v="MERCURE PAU PALAIS SPORTS"/>
    <x v="1"/>
    <s v="01/01/1997"/>
    <n v="84"/>
    <x v="0"/>
    <s v="106 AVENUE DE L EUROPE"/>
    <s v="-"/>
    <s v="-"/>
    <x v="188"/>
    <s v="PAU"/>
    <s v="-0.352751"/>
    <s v="43.329243"/>
    <s v="Centre ville"/>
    <d v="2025-01-01T00:00:00"/>
    <d v="2025-01-01T00:00:00"/>
    <s v="Franchisee"/>
    <s v="HOTELINA"/>
    <s v="Jerome LANTERNIER"/>
    <x v="0"/>
    <n v="1.5"/>
    <n v="0.7"/>
    <s v="January"/>
    <n v="0.6"/>
    <s v="August"/>
    <n v="0.8"/>
    <x v="0"/>
    <x v="0"/>
    <s v="No"/>
    <s v="Yes"/>
    <n v="6"/>
    <n v="1"/>
    <n v="0"/>
    <n v="1"/>
    <n v="0.5"/>
    <n v="0.5"/>
    <n v="0.4"/>
    <n v="0.6"/>
  </r>
  <r>
    <s v="H0956"/>
    <s v="IBIS DOUAI CENTRE"/>
    <x v="0"/>
    <s v="01/11/1987"/>
    <n v="42"/>
    <x v="4"/>
    <s v="PLACE SAINT AMÉ"/>
    <s v="-"/>
    <s v="-"/>
    <x v="189"/>
    <s v="DOUAI"/>
    <s v="3.074112"/>
    <s v="50.368412"/>
    <s v="Centre ville"/>
    <d v="2025-01-01T00:00:00"/>
    <d v="2025-01-01T00:00:00"/>
    <s v="Franchisee"/>
    <s v="GREGOIRE JARROSSON"/>
    <s v="Muriel JACQUELIN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0959"/>
    <s v="IBIS PARIS ALESIA MONTPARNASSE"/>
    <x v="0"/>
    <s v="01/03/1988"/>
    <n v="264"/>
    <x v="5"/>
    <s v="49 RUE DES PLANTES"/>
    <s v="-"/>
    <s v="-"/>
    <x v="9"/>
    <s v="PARIS"/>
    <e v="#N/A"/>
    <e v="#N/A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0962"/>
    <s v="MERCURE NICE MARCHE FLEURS"/>
    <x v="1"/>
    <s v="01/01/1985"/>
    <n v="49"/>
    <x v="4"/>
    <s v="91 QUAI DES ETATS UNIS"/>
    <s v="PROMENADE DES ANGLAIS"/>
    <s v="-"/>
    <x v="190"/>
    <s v="NICE"/>
    <s v="7.272317"/>
    <s v="43.695152"/>
    <s v="Centre ville"/>
    <d v="2025-01-01T00:00:00"/>
    <d v="2025-01-01T00:00:00"/>
    <s v="Franchisee"/>
    <s v="COFIGAD - EME"/>
    <s v="Marion BORO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964"/>
    <s v="NOVOTEL BAYEUX"/>
    <x v="3"/>
    <s v="01/04/1988"/>
    <n v="77"/>
    <x v="0"/>
    <s v="117 RUE SAINT PATRICE"/>
    <s v="ROND-POINT DE VAUCELLES"/>
    <s v="-"/>
    <x v="191"/>
    <s v="BAYEUX"/>
    <s v="-0.71842"/>
    <s v="49.281975"/>
    <s v="Centre ville"/>
    <d v="2025-01-01T00:00:00"/>
    <d v="2025-01-01T00:00:00"/>
    <s v="Franchisee"/>
    <s v="GROUPE SD2P"/>
    <s v="Ronan LE MEUR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0965"/>
    <s v="NOVOTEL LA ROCHELLE CENTRE"/>
    <x v="3"/>
    <s v="01/04/1988"/>
    <n v="94"/>
    <x v="0"/>
    <s v="AVENUE DE LA PORTE NEUVE"/>
    <s v="-"/>
    <s v="-"/>
    <x v="88"/>
    <s v="LA ROCHELLE"/>
    <s v="-1.158366"/>
    <s v="46.161466"/>
    <s v="Centre ville"/>
    <d v="2025-01-01T00:00:00"/>
    <d v="2025-01-01T00:00:00"/>
    <s v="Franchisee"/>
    <s v="BOISSEE FINANCES"/>
    <s v="Jerome LANTERNIER"/>
    <x v="0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0971"/>
    <s v="IBIS BEAUNE LA FERME AUX VINS"/>
    <x v="0"/>
    <s v="20/01/1988"/>
    <n v="103"/>
    <x v="1"/>
    <s v="RUE YVES-BERTRAND BURGALAT"/>
    <s v="BP 144"/>
    <s v="-"/>
    <x v="192"/>
    <s v="BEAUNE"/>
    <s v="4.843662"/>
    <s v="47.010943"/>
    <s v="Centre ville"/>
    <d v="2025-01-01T00:00:00"/>
    <d v="2025-01-01T00:00:00"/>
    <s v="Franchisee"/>
    <s v="FAMILLE JACQUIER"/>
    <s v="Eric MARAIS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0972"/>
    <s v="IBIS LE PUY EN VELAY CENTRE"/>
    <x v="0"/>
    <s v="31/03/1988"/>
    <n v="57"/>
    <x v="0"/>
    <s v="1 AVENUE  D'AIGUILHE"/>
    <s v="-"/>
    <s v="-"/>
    <x v="193"/>
    <s v="LE PUY EN VELAY"/>
    <s v="3.880006"/>
    <s v="45.04746"/>
    <s v="Centre ville"/>
    <d v="2025-01-01T00:00:00"/>
    <d v="2025-01-01T00:00:00"/>
    <s v="Franchisee"/>
    <s v="EMMANUEL CRESPY"/>
    <s v="Jean-Claude FOUCHET"/>
    <x v="0"/>
    <n v="1.5"/>
    <n v="0.7"/>
    <s v="January"/>
    <n v="0.6"/>
    <s v="August"/>
    <n v="0.8"/>
    <x v="0"/>
    <x v="0"/>
    <s v="No"/>
    <s v="Yes"/>
    <n v="9"/>
    <s v="-"/>
    <n v="0"/>
    <s v="-"/>
    <n v="0.5"/>
    <n v="0.5"/>
    <n v="0.4"/>
    <n v="0.6"/>
  </r>
  <r>
    <s v="H0973"/>
    <s v="IBIS NANCY CENTRE GARE CONGRES"/>
    <x v="0"/>
    <s v="01/02/1993"/>
    <n v="82"/>
    <x v="0"/>
    <s v="3 RUE CRAMPEL"/>
    <s v="-"/>
    <s v="-"/>
    <x v="194"/>
    <s v="NANCY"/>
    <s v="6.175283"/>
    <s v="48.689301"/>
    <s v="Centre ville"/>
    <d v="2025-01-01T00:00:00"/>
    <d v="2025-01-01T00:00:00"/>
    <s v="Franchisee"/>
    <s v="GROUPE COVIVIO"/>
    <s v="Christophe RUQUEBOE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0976"/>
    <s v="IBIS PARIS VILLEPINTE PC EXPO"/>
    <x v="0"/>
    <s v="01/09/1988"/>
    <n v="123"/>
    <x v="1"/>
    <s v="A104 SORTIE NO2 VISITEURS"/>
    <s v="PARC DES EXPOSITIONS BP 64069"/>
    <s v="-"/>
    <x v="195"/>
    <s v="ROISSY"/>
    <s v="2.516266"/>
    <s v="48.967693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0977"/>
    <s v="MERCURE PARC DU COUDRAY"/>
    <x v="1"/>
    <s v="01/05/1988"/>
    <n v="127"/>
    <x v="1"/>
    <s v="ROUTE DE MILLY"/>
    <s v="-"/>
    <s v="-"/>
    <x v="196"/>
    <s v="LE COUDRAY MONTCEAUX"/>
    <s v="2.485163"/>
    <s v="48.55579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0"/>
    <s v="No"/>
    <s v="Yes"/>
    <n v="12"/>
    <n v="1"/>
    <n v="1"/>
    <n v="1"/>
    <n v="0.5"/>
    <n v="0.5"/>
    <n v="0.4"/>
    <n v="0.6"/>
  </r>
  <r>
    <s v="H0978"/>
    <s v="MERCURE COLMAR CENTRE"/>
    <x v="1"/>
    <s v="01/06/1988"/>
    <n v="76"/>
    <x v="0"/>
    <s v="15 RUE GOLBERY"/>
    <s v="-"/>
    <s v="-"/>
    <x v="52"/>
    <s v="COLMAR"/>
    <s v="7.357523"/>
    <s v="48.081106"/>
    <s v="Centre ville"/>
    <d v="2025-01-01T00:00:00"/>
    <d v="2025-01-01T00:00:00"/>
    <s v="Franchisee"/>
    <s v="GROUPE HELMLINGER"/>
    <s v="Eric MARAIS"/>
    <x v="0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0981"/>
    <s v="MERCURE PARIS OPERA MONTMARTRE"/>
    <x v="1"/>
    <s v="01/01/1929"/>
    <n v="67"/>
    <x v="0"/>
    <s v="5  RUE DE MONTYON"/>
    <s v="-"/>
    <s v="-"/>
    <x v="197"/>
    <s v="PARIS"/>
    <s v="2.344612"/>
    <s v="48.873059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0982"/>
    <s v="IBIS ALENCON"/>
    <x v="0"/>
    <s v="01/04/1988"/>
    <n v="52"/>
    <x v="0"/>
    <s v="13 PL AUGUSTE POULET MALASSIS"/>
    <s v="-"/>
    <s v="-"/>
    <x v="198"/>
    <s v="ALENCON"/>
    <s v="0.088524"/>
    <s v="48.432333"/>
    <s v="Centre ville"/>
    <d v="2025-01-01T00:00:00"/>
    <d v="2025-01-01T00:00:00"/>
    <s v="Franchisee"/>
    <s v="FAMILLE VALLEE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985"/>
    <s v="NOVOTEL ATRIA NIMES CENTRE"/>
    <x v="3"/>
    <s v="01/05/1988"/>
    <n v="118"/>
    <x v="1"/>
    <s v="5 BOULEVARD DE PRAGUE"/>
    <s v="-"/>
    <s v="-"/>
    <x v="199"/>
    <s v="NIMES"/>
    <e v="#N/A"/>
    <e v="#N/A"/>
    <s v="Centre ville"/>
    <d v="2025-01-01T00:00:00"/>
    <d v="2025-01-01T00:00:00"/>
    <s v="Franchisee"/>
    <s v="ATYPIO"/>
    <s v="Jean-Claude FOUCHET"/>
    <x v="0"/>
    <n v="1.5"/>
    <n v="0.7"/>
    <s v="January"/>
    <n v="0.6"/>
    <s v="August"/>
    <n v="0.8"/>
    <x v="0"/>
    <x v="0"/>
    <s v="No"/>
    <s v="Yes"/>
    <n v="9"/>
    <s v="-"/>
    <n v="0"/>
    <s v="-"/>
    <n v="0.5"/>
    <n v="0.5"/>
    <n v="0.4"/>
    <n v="0.6"/>
  </r>
  <r>
    <s v="H0986"/>
    <s v="MERCURE HONFLEUR"/>
    <x v="1"/>
    <s v="01/06/1988"/>
    <n v="56"/>
    <x v="0"/>
    <s v="4 RUE DES VASES"/>
    <s v="-"/>
    <s v="-"/>
    <x v="200"/>
    <s v="HONFLEUR"/>
    <s v="0.237821"/>
    <s v="49.418439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0994"/>
    <s v="NOVOTEL BIARRITZ ANGLET"/>
    <x v="3"/>
    <s v="01/09/1988"/>
    <n v="104"/>
    <x v="1"/>
    <s v="68 AVENUE D'ESPAGNE"/>
    <s v="-"/>
    <s v="-"/>
    <x v="159"/>
    <s v="ANGLET"/>
    <s v="-1.525803"/>
    <s v="43.477126"/>
    <s v="Centre ville"/>
    <d v="2025-01-01T00:00:00"/>
    <d v="2025-01-01T00:00:00"/>
    <s v="Franchisee"/>
    <s v="FAMILLE SEGERIC"/>
    <s v="Jerome LANTERNIER"/>
    <x v="0"/>
    <n v="1.5"/>
    <n v="0.7"/>
    <s v="January"/>
    <n v="0.6"/>
    <s v="August"/>
    <n v="0.8"/>
    <x v="0"/>
    <x v="0"/>
    <s v="No"/>
    <s v="Yes"/>
    <n v="5"/>
    <n v="1"/>
    <n v="1"/>
    <n v="1"/>
    <n v="0.5"/>
    <n v="0.5"/>
    <n v="0.4"/>
    <n v="0.6"/>
  </r>
  <r>
    <s v="H1012"/>
    <s v="IBIS STYLES CAEN CENTRE"/>
    <x v="2"/>
    <s v="01/01/1986"/>
    <n v="58"/>
    <x v="0"/>
    <s v="33 RUE DE BRAS"/>
    <s v="-"/>
    <s v="-"/>
    <x v="45"/>
    <s v="CAEN"/>
    <s v="-0.365746"/>
    <s v="49.181963"/>
    <s v="Centre ville"/>
    <d v="2025-01-01T00:00:00"/>
    <d v="2025-01-01T00:00:00"/>
    <s v="Franchisee"/>
    <s v="FAMILLE BESNEVILLE-LOGEAIS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014"/>
    <s v="NOVOTEL PARIS CDG AIRPORT"/>
    <x v="3"/>
    <s v="01/09/1988"/>
    <n v="201"/>
    <x v="6"/>
    <s v="RUE DE PARIS"/>
    <s v="ROISSYPOLE GARE RER"/>
    <s v="-"/>
    <x v="201"/>
    <s v="ROISSY"/>
    <s v="2.561514"/>
    <s v="49.008766"/>
    <s v="Centre ville"/>
    <d v="2025-01-01T00:00:00"/>
    <d v="2025-01-01T00:00:00"/>
    <s v="Managed"/>
    <s v="ACCORINVEST FRANCE"/>
    <s v="Thibault FREMONT"/>
    <x v="0"/>
    <n v="1.5"/>
    <n v="0.7"/>
    <s v="January"/>
    <n v="0.6"/>
    <s v="August"/>
    <n v="0.8"/>
    <x v="2"/>
    <x v="0"/>
    <s v="No"/>
    <s v="Yes"/>
    <n v="5"/>
    <s v="-"/>
    <n v="0"/>
    <s v="-"/>
    <n v="0.5"/>
    <n v="0.5"/>
    <n v="0.4"/>
    <n v="0.6"/>
  </r>
  <r>
    <s v="H1022"/>
    <s v="NOVOTEL CHATEAU DE VERSAILLES"/>
    <x v="3"/>
    <s v="01/11/1988"/>
    <n v="106"/>
    <x v="1"/>
    <s v="4 BOULEVARD ST ANTOINE"/>
    <s v="-"/>
    <s v="-"/>
    <x v="25"/>
    <s v="LE CHESNAY"/>
    <s v="2.128515"/>
    <s v="48.815545"/>
    <s v="Centre ville"/>
    <d v="2025-01-01T00:00:00"/>
    <d v="2025-01-01T00:00:00"/>
    <s v="Franchisee"/>
    <s v="FAMILLE BESNEVILLE-ROPARS"/>
    <s v="Pierre LAGRANGE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1023"/>
    <s v="NOVOTEL BORDEAUX CENTRE"/>
    <x v="3"/>
    <s v="01/04/1989"/>
    <n v="142"/>
    <x v="1"/>
    <s v="45 COURS DU MARECHAL JUIN"/>
    <s v="-"/>
    <s v="-"/>
    <x v="186"/>
    <s v="BORDEAUX"/>
    <s v="-0.584483"/>
    <s v="44.835668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0"/>
    <s v="No"/>
    <s v="Yes"/>
    <n v="2"/>
    <n v="1"/>
    <n v="0"/>
    <s v="-"/>
    <n v="0.5"/>
    <n v="0.5"/>
    <n v="0.4"/>
    <n v="0.6"/>
  </r>
  <r>
    <s v="H1028"/>
    <s v="IBIS CHATEAU DE FONTAINEBLEAU"/>
    <x v="0"/>
    <s v="01/01/1989"/>
    <n v="86"/>
    <x v="0"/>
    <s v="18 RUE DE FERRARE"/>
    <s v="ILE DE FRANCE"/>
    <s v="-"/>
    <x v="202"/>
    <s v="FONTAINEBLEAU"/>
    <s v="2.698077"/>
    <s v="48.404157"/>
    <s v="Centre ville"/>
    <d v="2025-01-01T00:00:00"/>
    <d v="2025-01-01T00:00:00"/>
    <s v="Franchisee"/>
    <s v="GROUPE COVIVIO"/>
    <s v="Damien RAPHANEL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034"/>
    <s v="IBIS COLMAR HORBOURG WIHR"/>
    <x v="0"/>
    <s v="01/03/1989"/>
    <n v="86"/>
    <x v="0"/>
    <s v="13 ROUTE DE NEUF-BRISACH"/>
    <s v="HORBOURG WIHR"/>
    <s v="-"/>
    <x v="203"/>
    <s v="HORBOURG WIHR"/>
    <s v="7.402752"/>
    <s v="48.077537"/>
    <s v="Centre ville"/>
    <d v="2025-01-01T00:00:00"/>
    <d v="2025-01-01T00:00:00"/>
    <s v="Franchisee"/>
    <s v="SOMNOO"/>
    <s v="Eric MARAIS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1037"/>
    <s v="MERCURE PARIS VAL DE FONTENAY"/>
    <x v="1"/>
    <s v="01/04/1989"/>
    <n v="133"/>
    <x v="1"/>
    <s v="20 AVENUE DES OLYMPIADES"/>
    <s v="-"/>
    <s v="-"/>
    <x v="204"/>
    <s v="FONTENAY SOUS BOIS"/>
    <s v="2.488382"/>
    <s v="48.85407"/>
    <s v="Centre ville"/>
    <d v="2025-01-01T00:00:00"/>
    <d v="2025-01-01T00:00:00"/>
    <s v="Managed"/>
    <s v="JAANA MOATTI"/>
    <s v="Stephanie BAUME"/>
    <x v="1"/>
    <n v="1.5"/>
    <n v="0.7"/>
    <s v="January"/>
    <n v="0.6"/>
    <s v="August"/>
    <n v="0.8"/>
    <x v="0"/>
    <x v="0"/>
    <s v="No"/>
    <s v="Yes"/>
    <n v="8"/>
    <n v="1"/>
    <n v="0"/>
    <s v="-"/>
    <n v="0.5"/>
    <n v="0.5"/>
    <n v="0.4"/>
    <n v="0.6"/>
  </r>
  <r>
    <s v="H1042"/>
    <s v="IBIS CHATEAU THIERRY"/>
    <x v="0"/>
    <s v="01/04/1989"/>
    <n v="55"/>
    <x v="0"/>
    <s v="50 AVENUE DU GÉNÉRAL DE GAULLE"/>
    <s v="-"/>
    <s v="-"/>
    <x v="205"/>
    <s v="ESSOMES SUR MARNE"/>
    <s v="3.380214"/>
    <s v="49.035229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1045"/>
    <s v="IBIS STYLES PERPIGNAN CENTER"/>
    <x v="2"/>
    <s v="01/06/1989"/>
    <n v="102"/>
    <x v="1"/>
    <s v="16 COURS LAZARE ESCARGUEL"/>
    <s v="-"/>
    <s v="-"/>
    <x v="206"/>
    <s v="PERPIGNAN"/>
    <s v="2.886846"/>
    <s v="42.699647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1051"/>
    <s v="IBIS BRIGNOLES PROVENCE VERTE"/>
    <x v="0"/>
    <s v="01/08/1989"/>
    <n v="47"/>
    <x v="4"/>
    <s v="934 CHEMIN DES ADRETS"/>
    <s v="-"/>
    <s v="-"/>
    <x v="207"/>
    <s v="BRIGNOLES"/>
    <s v="6.067165"/>
    <s v="43.420837"/>
    <s v="Centre ville"/>
    <d v="2025-01-01T00:00:00"/>
    <d v="2025-01-01T00:00:00"/>
    <s v="Franchisee"/>
    <s v="FAMILLE TREGLOSSE"/>
    <s v="Alexandra LAUNAY"/>
    <x v="0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1055"/>
    <s v="MERCURE HYERES CENTRE"/>
    <x v="1"/>
    <s v="01/01/1989"/>
    <n v="81"/>
    <x v="0"/>
    <s v="19 AVENUE AMBROISE THOMAS"/>
    <s v="-"/>
    <s v="-"/>
    <x v="208"/>
    <s v="HYERES"/>
    <s v="6.134244"/>
    <s v="43.11462"/>
    <s v="Centre ville"/>
    <d v="2025-01-01T00:00:00"/>
    <d v="2025-01-01T00:00:00"/>
    <s v="Franchisee"/>
    <s v="CASTELLET HOSPITALITY"/>
    <s v="Marion BOROT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1056"/>
    <s v="MERCURE RENNES CTRE PARLEMENT"/>
    <x v="1"/>
    <s v="01/04/1989"/>
    <n v="104"/>
    <x v="1"/>
    <s v="1 RUE PAUL LOUIS COURIER"/>
    <s v="-"/>
    <s v="-"/>
    <x v="136"/>
    <s v="RENNES"/>
    <s v="-1.677293"/>
    <s v="48.109072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1"/>
    <s v="No"/>
    <s v="Yes"/>
    <n v="2"/>
    <n v="1"/>
    <n v="0"/>
    <s v="-"/>
    <n v="0.5"/>
    <n v="0.5"/>
    <n v="0.4"/>
    <n v="0.6"/>
  </r>
  <r>
    <s v="H1068"/>
    <s v="MERCURE NANCY CTR STANISLAS"/>
    <x v="1"/>
    <s v="01/07/1989"/>
    <n v="79"/>
    <x v="0"/>
    <s v="5 RUE DES CARMES"/>
    <s v="ACCÈS PARKING : 31 RUE GAMBETTA"/>
    <s v="-"/>
    <x v="194"/>
    <s v="NANCY"/>
    <s v="6.180276"/>
    <s v="48.692127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1072"/>
    <s v="MERCURE SAINT LO CENTRE"/>
    <x v="1"/>
    <s v="01/05/1989"/>
    <n v="61"/>
    <x v="0"/>
    <s v="1 AVENUE DE BRIOVERE"/>
    <s v="-"/>
    <s v="-"/>
    <x v="182"/>
    <s v="SAINT LO"/>
    <s v="-1.099816"/>
    <s v="49.1157"/>
    <s v="Centre ville"/>
    <d v="2025-01-01T00:00:00"/>
    <d v="2025-01-01T00:00:00"/>
    <s v="Franchisee"/>
    <s v="FAMILLE CHOINARD"/>
    <s v="Jean-Francois STEBLE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075"/>
    <s v="NOVOTEL ORLEANS ST JEAN BRAYE"/>
    <x v="3"/>
    <s v="01/06/1989"/>
    <n v="107"/>
    <x v="1"/>
    <s v="145 AVENUE DE VERDUN"/>
    <s v="-"/>
    <s v="-"/>
    <x v="209"/>
    <s v="SAINT JEAN DE BRAYE"/>
    <s v="1.988765"/>
    <s v="47.922455"/>
    <s v="Centre ville"/>
    <d v="2025-01-01T00:00:00"/>
    <d v="2025-01-01T00:00:00"/>
    <s v="Franchisee"/>
    <s v="GROUPE DERET"/>
    <s v="Bruno COQUAZ"/>
    <x v="1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1080"/>
    <s v="IBIS CHATEAUROUX"/>
    <x v="0"/>
    <s v="01/01/1989"/>
    <n v="60"/>
    <x v="0"/>
    <s v="16 RUE VICTOR HUGO"/>
    <s v="-"/>
    <s v="-"/>
    <x v="210"/>
    <s v="CHATEAUROUX"/>
    <s v="1.694008"/>
    <s v="46.811706"/>
    <s v="Centre ville"/>
    <d v="2025-01-01T00:00:00"/>
    <d v="2025-01-01T00:00:00"/>
    <s v="Franchisee"/>
    <s v="HPVA HOTELS"/>
    <s v="Bruno COQUAZ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1081"/>
    <s v="IBIS LA ROCHE SUR YON"/>
    <x v="0"/>
    <s v="01/07/1989"/>
    <n v="85"/>
    <x v="0"/>
    <s v="160 RUE DU CLAIR BOCAGE"/>
    <s v="ZONE ACTIVITÉS DE BEAUPUY 1"/>
    <s v="-"/>
    <x v="211"/>
    <s v="LA ROCHE SUR YON"/>
    <s v="-1.430701"/>
    <s v="46.710606"/>
    <s v="Centre ville"/>
    <d v="2025-01-01T00:00:00"/>
    <d v="2025-01-01T00:00:00"/>
    <s v="Franchisee"/>
    <s v="AGP HOTELS"/>
    <s v="Jean-Luc RABAULT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1093"/>
    <s v="IBIS MARSEILLE AEROPORT"/>
    <x v="0"/>
    <s v="01/09/1989"/>
    <n v="125"/>
    <x v="1"/>
    <s v="AÉROPORT MARSEILLE PROVENCE"/>
    <s v="13729 MARIGNANE"/>
    <s v="-"/>
    <x v="212"/>
    <s v="MARIGNANE"/>
    <s v="5.226112"/>
    <s v="43.445904"/>
    <s v="Centre ville"/>
    <d v="2025-01-01T00:00:00"/>
    <d v="2025-01-01T00:00:00"/>
    <s v="Managed"/>
    <s v="ACCORINVEST FRANCE"/>
    <s v="Yoan SAUTOU"/>
    <x v="0"/>
    <n v="1.5"/>
    <n v="0.7"/>
    <s v="January"/>
    <n v="0.6"/>
    <s v="August"/>
    <n v="0.8"/>
    <x v="0"/>
    <x v="0"/>
    <s v="No"/>
    <s v="Yes"/>
    <s v="-"/>
    <s v="-"/>
    <n v="0"/>
    <n v="1"/>
    <n v="0.5"/>
    <n v="0.5"/>
    <n v="0.4"/>
    <n v="0.6"/>
  </r>
  <r>
    <s v="H1096"/>
    <s v="IBIS ANGOULEME NORD"/>
    <x v="0"/>
    <s v="01/03/1990"/>
    <n v="62"/>
    <x v="0"/>
    <s v="RUE DE L'ARETIER"/>
    <s v="46 RUE DES MENEAUX"/>
    <s v="-"/>
    <x v="40"/>
    <s v="CHAMPNIERS"/>
    <s v="0.179657"/>
    <s v="45.693645"/>
    <s v="Centre ville"/>
    <d v="2025-01-01T00:00:00"/>
    <d v="2025-01-01T00:00:00"/>
    <s v="Franchisee"/>
    <s v="DENIS FAUQUE"/>
    <s v="Dominique CHEVANC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1098"/>
    <s v="MERCURE LILLE AEROPORT"/>
    <x v="1"/>
    <s v="01/07/1972"/>
    <n v="215"/>
    <x v="6"/>
    <s v="110  RUE JEAN JAURES"/>
    <s v="-"/>
    <s v="-"/>
    <x v="59"/>
    <s v="LESQUIN"/>
    <s v="3.092975"/>
    <s v="50.582399"/>
    <s v="Centre ville"/>
    <d v="2025-01-01T00:00:00"/>
    <d v="2025-01-01T00:00:00"/>
    <s v="Franchisee"/>
    <s v="GRAPE HOSPITALITY"/>
    <s v="Muriel JACQUELINE"/>
    <x v="0"/>
    <n v="1.5"/>
    <n v="0.7"/>
    <s v="January"/>
    <n v="0.6"/>
    <s v="August"/>
    <n v="0.8"/>
    <x v="0"/>
    <x v="2"/>
    <s v="No"/>
    <s v="Yes"/>
    <n v="11"/>
    <n v="1"/>
    <n v="0"/>
    <s v="-"/>
    <n v="0.5"/>
    <n v="0.5"/>
    <n v="0.4"/>
    <n v="0.6"/>
  </r>
  <r>
    <s v="H1099"/>
    <s v="MERCURE LILLE MARQ EN BAROEUL"/>
    <x v="1"/>
    <s v="01/04/1974"/>
    <n v="125"/>
    <x v="1"/>
    <s v="157 AVENUE DE LA MARNE"/>
    <s v="-"/>
    <s v="-"/>
    <x v="213"/>
    <s v="MARCQ EN BAROEUL"/>
    <s v="3.110665"/>
    <s v="50.678404"/>
    <s v="Centre ville"/>
    <d v="2025-01-01T00:00:00"/>
    <d v="2025-01-01T00:00:00"/>
    <s v="Franchisee"/>
    <s v="FAMILLE BROUILLARD"/>
    <s v="Muriel JACQUELINE"/>
    <x v="0"/>
    <n v="1.5"/>
    <n v="0.7"/>
    <s v="January"/>
    <n v="0.6"/>
    <s v="August"/>
    <n v="0.8"/>
    <x v="0"/>
    <x v="0"/>
    <s v="No"/>
    <s v="Yes"/>
    <n v="11"/>
    <n v="1"/>
    <n v="0"/>
    <s v="-"/>
    <n v="0.5"/>
    <n v="0.5"/>
    <n v="0.4"/>
    <n v="0.6"/>
  </r>
  <r>
    <s v="H1102"/>
    <s v="IBIS SAINT DIE DES VOSGES"/>
    <x v="0"/>
    <s v="31/10/1989"/>
    <n v="62"/>
    <x v="0"/>
    <s v="5 QUAI JEANNE D'ARC"/>
    <s v="-"/>
    <s v="-"/>
    <x v="214"/>
    <s v="SAINT DIE"/>
    <s v="6.951274"/>
    <s v="48.285221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103"/>
    <s v="NOVOTEL NICE CENTRE"/>
    <x v="3"/>
    <s v="01/11/1989"/>
    <n v="180"/>
    <x v="3"/>
    <s v="8-10 ESPLANADE DU PARVIS DE"/>
    <s v="L'EUROPE"/>
    <s v="-"/>
    <x v="190"/>
    <s v="NICE"/>
    <s v="7.28171"/>
    <s v="43.707912"/>
    <s v="Centre ville"/>
    <d v="2025-01-01T00:00:00"/>
    <d v="2025-01-01T00:00:00"/>
    <s v="Franchisee"/>
    <s v="KER HOSPITALITY"/>
    <s v="Marion BOROT"/>
    <x v="0"/>
    <n v="1.5"/>
    <n v="0.7"/>
    <s v="January"/>
    <n v="0.6"/>
    <s v="August"/>
    <n v="0.8"/>
    <x v="0"/>
    <x v="0"/>
    <s v="No"/>
    <s v="Yes"/>
    <n v="6"/>
    <n v="1"/>
    <n v="0"/>
    <n v="1"/>
    <n v="0.5"/>
    <n v="0.5"/>
    <n v="0.4"/>
    <n v="0.6"/>
  </r>
  <r>
    <s v="H1105"/>
    <s v="IBIS SAINT MALO PLAGE"/>
    <x v="0"/>
    <s v="01/04/1990"/>
    <n v="61"/>
    <x v="0"/>
    <s v="58 CHAUSSÉE DU SILLON"/>
    <s v="-"/>
    <s v="-"/>
    <x v="135"/>
    <s v="SAINT MALO"/>
    <s v="-2.012102"/>
    <s v="48.65313"/>
    <s v="Centre ville"/>
    <d v="2025-01-01T00:00:00"/>
    <d v="2025-01-01T00:00:00"/>
    <s v="Franchisee"/>
    <s v="COFIGAD - EME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106"/>
    <s v="MERCURE STRASBOURG CENTRE"/>
    <x v="1"/>
    <s v="01/11/1989"/>
    <n v="98"/>
    <x v="0"/>
    <s v="25 RUE THOMANN"/>
    <s v="-"/>
    <s v="-"/>
    <x v="68"/>
    <s v="STRASBOURG"/>
    <s v="7.7452"/>
    <s v="48.584833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1108"/>
    <s v="IBIS COGNAC"/>
    <x v="0"/>
    <s v="01/04/1990"/>
    <n v="39"/>
    <x v="4"/>
    <s v="24 RUE ELISEE-MOUSNIER"/>
    <s v="-"/>
    <s v="-"/>
    <x v="215"/>
    <s v="COGNAC"/>
    <s v="-0.329418"/>
    <s v="45.691657"/>
    <s v="Centre ville"/>
    <d v="2025-01-01T00:00:00"/>
    <d v="2025-01-01T00:00:00"/>
    <s v="Franchisee"/>
    <s v="FAMILLE ROCAILLEUX"/>
    <s v="Dominique CHEVANC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109"/>
    <s v="IBIS ROSCOFF"/>
    <x v="0"/>
    <s v="01/04/1990"/>
    <n v="45"/>
    <x v="4"/>
    <s v="17 PLACE LACAZE DUTHIERS"/>
    <s v="-"/>
    <s v="-"/>
    <x v="216"/>
    <s v="ROSCOFF"/>
    <s v="-3.986138"/>
    <s v="48.727393"/>
    <s v="Centre ville"/>
    <d v="2025-01-01T00:00:00"/>
    <d v="2025-01-01T00:00:00"/>
    <s v="Franchisee"/>
    <s v="KERSTONE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115"/>
    <s v="IBIS STYLES ST ETIENNE GARETGV"/>
    <x v="2"/>
    <s v="01/01/1997"/>
    <n v="88"/>
    <x v="0"/>
    <s v="35 AVENUE DENFERT ROCHEREAU"/>
    <s v="-"/>
    <s v="-"/>
    <x v="152"/>
    <s v="SAINT ETIENNE"/>
    <s v="4.398946"/>
    <s v="45.442645"/>
    <s v="Centre ville"/>
    <d v="2025-01-01T00:00:00"/>
    <d v="2025-01-01T00:00:00"/>
    <s v="Franchisee"/>
    <s v="FAMILLE HENNEVEUX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120"/>
    <s v="IBIS GAP CENTRE"/>
    <x v="0"/>
    <s v="01/06/1990"/>
    <n v="63"/>
    <x v="0"/>
    <s v="5/7 BLD GEORGES POMPIDOU"/>
    <s v="-"/>
    <s v="-"/>
    <x v="217"/>
    <s v="GAP"/>
    <s v="6.084278"/>
    <s v="44.559429"/>
    <s v="Centre ville"/>
    <d v="2025-01-01T00:00:00"/>
    <d v="2025-01-01T00:00:00"/>
    <s v="Franchisee"/>
    <s v="KER HOSPITALITY"/>
    <s v="Alexandra LAUNAY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121"/>
    <s v="IBIS STYLES LA ROCHELLE THALASSO"/>
    <x v="2"/>
    <s v="01/08/1990"/>
    <n v="70"/>
    <x v="0"/>
    <s v="LA FALAISE"/>
    <s v="-"/>
    <s v="-"/>
    <x v="218"/>
    <s v="CHATELAILLON"/>
    <s v="-1.089191"/>
    <s v="46.059832"/>
    <s v="Centre ville"/>
    <d v="2025-01-01T00:00:00"/>
    <d v="2025-01-01T00:00:00"/>
    <s v="Franchisee"/>
    <s v="CLR HOTELS"/>
    <s v="Jerome LANTERNIER"/>
    <x v="0"/>
    <n v="1.5"/>
    <n v="0.7"/>
    <s v="January"/>
    <n v="0.6"/>
    <s v="August"/>
    <n v="0.8"/>
    <x v="0"/>
    <x v="0"/>
    <s v="No"/>
    <s v="Yes"/>
    <n v="2"/>
    <n v="1"/>
    <n v="1"/>
    <n v="1"/>
    <n v="0.5"/>
    <n v="0.5"/>
    <n v="0.4"/>
    <n v="0.6"/>
  </r>
  <r>
    <s v="H1122"/>
    <s v="MERCURE SOPHIA ANTIPOLIS"/>
    <x v="1"/>
    <s v="25/05/1990"/>
    <n v="107"/>
    <x v="1"/>
    <s v="RUE ALBERT CAQUOT"/>
    <s v="-"/>
    <s v="-"/>
    <x v="41"/>
    <s v="VALBONNE"/>
    <s v="7.05584"/>
    <s v="43.62087"/>
    <s v="Centre ville"/>
    <d v="2025-01-01T00:00:00"/>
    <d v="2025-01-01T00:00:00"/>
    <s v="Franchisee"/>
    <s v="GRAPE HOSPITALITY"/>
    <s v="Marion BOROT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1123"/>
    <s v="IBIS LE HAVRE CENTRE"/>
    <x v="0"/>
    <s v="01/05/1990"/>
    <n v="116"/>
    <x v="1"/>
    <s v="RUE DU 129ME RÉGIMENT"/>
    <s v="INFANTERIE"/>
    <s v="-"/>
    <x v="2"/>
    <s v="LE HAVRE"/>
    <s v="0.1188"/>
    <s v="49.491706"/>
    <s v="Centre ville"/>
    <d v="2025-01-01T00:00:00"/>
    <d v="2025-01-01T00:00:00"/>
    <s v="Franchisee"/>
    <s v="GERARD BERTOUT"/>
    <s v="Ronan LE MEU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131"/>
    <s v="MERCURE PARIS VAUGIRARD PTE V"/>
    <x v="1"/>
    <s v="01/01/1975"/>
    <n v="91"/>
    <x v="0"/>
    <s v="69 BOULEVARD VICTOR"/>
    <s v="-"/>
    <s v="-"/>
    <x v="173"/>
    <s v="PARIS"/>
    <s v="2.288085"/>
    <s v="48.832895"/>
    <s v="Centre ville"/>
    <d v="2025-01-01T00:00:00"/>
    <d v="2025-01-01T00:00:00"/>
    <s v="Managed"/>
    <s v="FAMILLE TIBOUL"/>
    <s v="Stephanie BAUME"/>
    <x v="1"/>
    <n v="1.5"/>
    <n v="0.7"/>
    <s v="January"/>
    <n v="0.6"/>
    <s v="August"/>
    <n v="0.8"/>
    <x v="0"/>
    <x v="1"/>
    <s v="No"/>
    <s v="Yes"/>
    <n v="10"/>
    <s v="-"/>
    <n v="0"/>
    <s v="-"/>
    <n v="0.5"/>
    <n v="0.5"/>
    <n v="0.4"/>
    <n v="0.6"/>
  </r>
  <r>
    <s v="H1132"/>
    <s v="MERCURE LYON L ISLE D ABEAU"/>
    <x v="1"/>
    <s v="01/06/1889"/>
    <n v="189"/>
    <x v="3"/>
    <s v="PARC TECHNOLOGIQUE"/>
    <s v="20 RUE CONDORCET"/>
    <s v="-"/>
    <x v="219"/>
    <s v="VILLEFONTAINE"/>
    <s v="5.166419"/>
    <s v="45.627242"/>
    <s v="Centre ville"/>
    <d v="2025-01-01T00:00:00"/>
    <d v="2025-01-01T00:00:00"/>
    <s v="Franchisee"/>
    <s v="CYC3"/>
    <s v="Katia GARNIER"/>
    <x v="0"/>
    <n v="1.5"/>
    <n v="0.7"/>
    <s v="January"/>
    <n v="0.6"/>
    <s v="August"/>
    <n v="0.8"/>
    <x v="0"/>
    <x v="2"/>
    <s v="No"/>
    <s v="Yes"/>
    <n v="11"/>
    <n v="1"/>
    <n v="1"/>
    <n v="2"/>
    <n v="0.5"/>
    <n v="0.5"/>
    <n v="0.4"/>
    <n v="0.6"/>
  </r>
  <r>
    <s v="H1139"/>
    <s v="NOVOTEL SAINT QUENTIN GOLF"/>
    <x v="3"/>
    <s v="04/10/1990"/>
    <n v="131"/>
    <x v="1"/>
    <s v="1 AVENUE DU GOLF"/>
    <s v="-"/>
    <s v="-"/>
    <x v="220"/>
    <s v="MAGNY LES HAMEAUX"/>
    <s v="2.074849"/>
    <s v="48.754464"/>
    <s v="Centre ville"/>
    <d v="2025-01-01T00:00:00"/>
    <d v="2025-01-01T00:00:00"/>
    <s v="Franchisee"/>
    <s v="GROUPE COVIVIO"/>
    <s v="Pierre LAGRANGE"/>
    <x v="1"/>
    <n v="1.5"/>
    <n v="0.7"/>
    <s v="January"/>
    <n v="0.6"/>
    <s v="August"/>
    <n v="0.8"/>
    <x v="0"/>
    <x v="2"/>
    <s v="No"/>
    <s v="Yes"/>
    <n v="7"/>
    <s v="-"/>
    <n v="1"/>
    <s v="-"/>
    <n v="0.5"/>
    <n v="0.5"/>
    <n v="0.4"/>
    <n v="0.6"/>
  </r>
  <r>
    <s v="H1143"/>
    <s v="NOVOTEL PARIS SURESNES"/>
    <x v="3"/>
    <s v="01/10/1990"/>
    <n v="113"/>
    <x v="1"/>
    <s v="7 RUE DU PORT AUX VINS"/>
    <s v="-"/>
    <s v="-"/>
    <x v="132"/>
    <s v="SURESNES"/>
    <s v="2.229935"/>
    <s v="48.870318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1147"/>
    <s v="IBIS BESANCON MARCHAUX"/>
    <x v="0"/>
    <s v="01/10/1990"/>
    <n v="30"/>
    <x v="4"/>
    <s v="AIRE DE BESANCON MARCHAUX"/>
    <s v="AUTOROUTE A-36 (SORTIE 4.1)"/>
    <s v="-"/>
    <x v="221"/>
    <s v="BESANCON"/>
    <s v="6.125959"/>
    <s v="47.327227"/>
    <s v="Centre ville"/>
    <d v="2025-01-01T00:00:00"/>
    <d v="2025-01-01T00:00:00"/>
    <s v="Franchisee"/>
    <s v="AREAS"/>
    <s v="Eric MARAI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148"/>
    <s v="MERCURE MARSEILLE CTR VX PORT"/>
    <x v="1"/>
    <s v="01/06/1977"/>
    <n v="200"/>
    <x v="6"/>
    <s v="1 RUE NEUVE SAINT MARTIN"/>
    <s v="-"/>
    <s v="-"/>
    <x v="222"/>
    <s v="MARSEILLE"/>
    <s v="5.375029"/>
    <s v="43.298807"/>
    <s v="Centre ville"/>
    <d v="2025-01-01T00:00:00"/>
    <d v="2025-01-01T00:00:00"/>
    <s v="Managed"/>
    <s v="ACCORINVEST FRANCE"/>
    <s v="Philippe DUCROCQ"/>
    <x v="1"/>
    <n v="1.5"/>
    <n v="0.7"/>
    <s v="January"/>
    <n v="0.6"/>
    <s v="August"/>
    <n v="0.8"/>
    <x v="0"/>
    <x v="1"/>
    <s v="No"/>
    <s v="Yes"/>
    <n v="18"/>
    <n v="1"/>
    <n v="0"/>
    <s v="-"/>
    <n v="0.5"/>
    <n v="0.5"/>
    <n v="0.4"/>
    <n v="0.6"/>
  </r>
  <r>
    <s v="H1160"/>
    <s v="MERCURE PERPIGNAN CENTRE"/>
    <x v="1"/>
    <s v="17/05/1991"/>
    <n v="60"/>
    <x v="0"/>
    <s v="5-5 BIS COURS PALMAROLE"/>
    <s v="-"/>
    <s v="-"/>
    <x v="206"/>
    <s v="PERPIGNAN"/>
    <s v="2.895069"/>
    <s v="42.702465"/>
    <s v="Centre ville"/>
    <d v="2025-01-01T00:00:00"/>
    <d v="2025-01-01T00:00:00"/>
    <s v="Franchisee"/>
    <s v="HENRY GAUZE"/>
    <s v="Jean Francois SANCHEZ"/>
    <x v="0"/>
    <n v="1.5"/>
    <n v="0.7"/>
    <s v="January"/>
    <n v="0.6"/>
    <s v="August"/>
    <n v="0.8"/>
    <x v="0"/>
    <x v="1"/>
    <s v="No"/>
    <s v="Yes"/>
    <n v="2"/>
    <n v="1"/>
    <n v="0"/>
    <s v="-"/>
    <n v="0.5"/>
    <n v="0.5"/>
    <n v="0.4"/>
    <n v="0.6"/>
  </r>
  <r>
    <s v="H1170"/>
    <s v="IBIS CANNES PLAGE LA BOCCA"/>
    <x v="0"/>
    <s v="01/01/1973"/>
    <n v="49"/>
    <x v="4"/>
    <s v="23 AVENUE FRANCIS TONNER"/>
    <s v="CANNES LA BOCCA"/>
    <s v="-"/>
    <x v="223"/>
    <s v="LA BOCCA"/>
    <s v="6.981639"/>
    <s v="43.549159"/>
    <s v="Centre ville"/>
    <d v="2025-01-01T00:00:00"/>
    <d v="2025-01-01T00:00:00"/>
    <s v="Franchisee"/>
    <s v="EMMANUEL CRESPY"/>
    <s v="Marion BORO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171"/>
    <s v="IBIS LA BAULE PORNICHET PLAGE"/>
    <x v="0"/>
    <s v="01/06/1991"/>
    <n v="88"/>
    <x v="0"/>
    <s v="66 BOULEVARD DES OCÉANIDES"/>
    <s v="AVENUE POINCARÉ"/>
    <s v="-"/>
    <x v="224"/>
    <s v="PORNICHET"/>
    <s v="-2.343855"/>
    <s v="47.265709"/>
    <s v="Centre ville"/>
    <d v="2025-01-01T00:00:00"/>
    <d v="2025-01-01T00:00:00"/>
    <s v="Franchisee"/>
    <s v="ASTAN HOSPITALITY - FIOUEST"/>
    <s v="Jean-Luc RABAULT"/>
    <x v="0"/>
    <n v="1.5"/>
    <n v="0.7"/>
    <s v="January"/>
    <n v="0.6"/>
    <s v="August"/>
    <n v="0.8"/>
    <x v="0"/>
    <x v="0"/>
    <s v="No"/>
    <s v="Yes"/>
    <n v="4"/>
    <s v="-"/>
    <n v="1"/>
    <s v="-"/>
    <n v="0.5"/>
    <n v="0.5"/>
    <n v="0.4"/>
    <n v="0.6"/>
  </r>
  <r>
    <s v="H1172"/>
    <s v="IBIS HYERES CENTRE"/>
    <x v="0"/>
    <s v="01/01/1990"/>
    <n v="46"/>
    <x v="4"/>
    <s v="770 AVENUE JEAN MOULIN"/>
    <s v="-"/>
    <s v="-"/>
    <x v="208"/>
    <s v="HYERES"/>
    <s v="6.129747"/>
    <s v="43.113098"/>
    <s v="Centre ville"/>
    <d v="2025-01-01T00:00:00"/>
    <d v="2025-01-01T00:00:00"/>
    <s v="Franchisee"/>
    <s v="FAMILLE COEUGNIET"/>
    <s v="Marion BOROT"/>
    <x v="0"/>
    <n v="1.5"/>
    <n v="0.7"/>
    <s v="January"/>
    <n v="0.6"/>
    <s v="August"/>
    <n v="0.8"/>
    <x v="2"/>
    <x v="1"/>
    <s v="No"/>
    <s v="Yes"/>
    <n v="2"/>
    <s v="-"/>
    <n v="0"/>
    <n v="1"/>
    <n v="0.5"/>
    <n v="0.5"/>
    <n v="0.4"/>
    <n v="0.6"/>
  </r>
  <r>
    <s v="H1175"/>
    <s v="NOVOTEL CLERMONT-FERRAND"/>
    <x v="3"/>
    <s v="29/03/1991"/>
    <n v="133"/>
    <x v="1"/>
    <s v="32-34 RUE GEORGES BESSE"/>
    <s v="LE BREZET"/>
    <s v="-"/>
    <x v="181"/>
    <s v="CLERMONT FERRAND"/>
    <s v="3.14186"/>
    <s v="45.786567"/>
    <s v="Centre ville"/>
    <d v="2025-01-01T00:00:00"/>
    <d v="2025-01-01T00:00:00"/>
    <s v="Franchisee"/>
    <s v="FAMILLE COINTET"/>
    <s v="Jean-Claude FOUCHET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1176"/>
    <s v="MERCURE PARIS MASSY GARE TGV"/>
    <x v="1"/>
    <s v="01/05/1991"/>
    <n v="116"/>
    <x v="1"/>
    <s v="21 AVENUE CARNOT"/>
    <s v="-"/>
    <s v="-"/>
    <x v="225"/>
    <s v="MASSY"/>
    <e v="#N/A"/>
    <e v="#N/A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177"/>
    <s v="NOVOTEL BEAUNE"/>
    <x v="3"/>
    <s v="01/08/1991"/>
    <n v="127"/>
    <x v="1"/>
    <s v="25 AVENUE CHARLES DE GAULLE"/>
    <s v="-"/>
    <s v="-"/>
    <x v="192"/>
    <s v="BEAUNE"/>
    <s v="4.849314"/>
    <s v="47.008087"/>
    <s v="Centre ville"/>
    <d v="2025-01-01T00:00:00"/>
    <d v="2025-01-01T00:00:00"/>
    <s v="Franchisee"/>
    <s v="BOISSEE FINANCES"/>
    <s v="Eric MARAIS"/>
    <x v="0"/>
    <n v="1.5"/>
    <n v="0.7"/>
    <s v="January"/>
    <n v="0.6"/>
    <s v="August"/>
    <n v="0.8"/>
    <x v="0"/>
    <x v="0"/>
    <s v="No"/>
    <s v="Yes"/>
    <n v="9"/>
    <n v="1"/>
    <n v="0"/>
    <n v="1"/>
    <n v="0.5"/>
    <n v="0.5"/>
    <n v="0.4"/>
    <n v="0.6"/>
  </r>
  <r>
    <s v="H1178"/>
    <s v="IBIS ARCHAMPS PORTE DE GENEVE"/>
    <x v="0"/>
    <s v="01/07/1991"/>
    <n v="84"/>
    <x v="0"/>
    <s v="ROUTE DE CHOSAL"/>
    <s v="23 RUE ADA BYRON"/>
    <s v="INTERNATIONAL BUSINESS PARK"/>
    <x v="226"/>
    <s v="ARCHAMPS"/>
    <s v="6.121294"/>
    <s v="46.136742"/>
    <s v="Centre ville"/>
    <d v="2025-01-01T00:00:00"/>
    <d v="2025-01-01T00:00:00"/>
    <s v="Franchisee"/>
    <s v="KER HOSPITALITY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183"/>
    <s v="IBIS CAEN CENTRE"/>
    <x v="0"/>
    <s v="11/07/1991"/>
    <n v="101"/>
    <x v="1"/>
    <s v="6 PLACE COURTONNE"/>
    <s v="BP 3086 - CAEN CEDEX"/>
    <s v="-"/>
    <x v="45"/>
    <s v="CAEN"/>
    <s v="-0.355916"/>
    <s v="49.184405"/>
    <s v="Centre ville"/>
    <d v="2025-01-01T00:00:00"/>
    <d v="2025-01-01T00:00:00"/>
    <s v="Franchisee"/>
    <s v="GROUPE SD2P"/>
    <s v="Ronan LE MEUR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1187"/>
    <s v="MERCURE BOURG EN BRESSE"/>
    <x v="1"/>
    <s v="01/05/1991"/>
    <n v="62"/>
    <x v="0"/>
    <s v="10 AVENUE DE BAD KREUZNACH"/>
    <s v="-"/>
    <s v="-"/>
    <x v="93"/>
    <s v="BOURG EN BRESSE"/>
    <s v="5.240967"/>
    <s v="46.212345"/>
    <s v="Centre ville"/>
    <d v="2025-01-01T00:00:00"/>
    <d v="2025-01-01T00:00:00"/>
    <s v="Franchisee"/>
    <s v="C.F.H"/>
    <s v="Katia GARNIER"/>
    <x v="0"/>
    <n v="1.5"/>
    <n v="0.7"/>
    <s v="January"/>
    <n v="0.6"/>
    <s v="August"/>
    <n v="0.8"/>
    <x v="0"/>
    <x v="0"/>
    <s v="No"/>
    <s v="Yes"/>
    <n v="6"/>
    <n v="1"/>
    <n v="0"/>
    <s v="-"/>
    <n v="0.5"/>
    <n v="0.5"/>
    <n v="0.4"/>
    <n v="0.6"/>
  </r>
  <r>
    <s v="H1190"/>
    <s v="MERCURE CANNES MANDELIEU"/>
    <x v="1"/>
    <s v="01/05/1991"/>
    <n v="97"/>
    <x v="0"/>
    <s v="6 ALLÉE DES CORMORANS"/>
    <s v="-"/>
    <s v="-"/>
    <x v="223"/>
    <s v="CANNES LA BOCCA"/>
    <s v="6.955708"/>
    <s v="43.54263"/>
    <s v="Centre ville"/>
    <d v="2025-01-01T00:00:00"/>
    <d v="2025-01-01T00:00:00"/>
    <s v="Franchisee"/>
    <s v="ATYPIO"/>
    <s v="Marion BOROT"/>
    <x v="0"/>
    <n v="1.5"/>
    <n v="0.7"/>
    <s v="January"/>
    <n v="0.6"/>
    <s v="August"/>
    <n v="0.8"/>
    <x v="0"/>
    <x v="2"/>
    <s v="No"/>
    <s v="Yes"/>
    <n v="4"/>
    <s v="-"/>
    <n v="0"/>
    <n v="1"/>
    <n v="0.5"/>
    <n v="0.5"/>
    <n v="0.4"/>
    <n v="0.6"/>
  </r>
  <r>
    <s v="H1191"/>
    <s v="MERCURE PARIS PLACE ITALIE"/>
    <x v="1"/>
    <s v="01/01/1992"/>
    <n v="50"/>
    <x v="0"/>
    <s v="25 BOULEVARD AUGUSTE BLANQUI"/>
    <s v="-"/>
    <s v="-"/>
    <x v="177"/>
    <s v="PARIS"/>
    <s v="2.352828"/>
    <s v="48.830305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192"/>
    <s v="IBIS AGEN CENTRE"/>
    <x v="0"/>
    <s v="16/04/1991"/>
    <n v="56"/>
    <x v="0"/>
    <s v="16 RUE CAMILLE DESMOULINS"/>
    <s v="-"/>
    <s v="-"/>
    <x v="227"/>
    <s v="AGEN"/>
    <s v="0.622374"/>
    <s v="44.204047"/>
    <s v="Centre ville"/>
    <d v="2025-01-01T00:00:00"/>
    <d v="2025-01-01T00:00:00"/>
    <s v="Franchisee"/>
    <s v="SOMNOO"/>
    <s v="Dominique CHEVANC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193"/>
    <s v="IBIS SITE DU FUTUROSCOPE"/>
    <x v="0"/>
    <s v="01/04/1991"/>
    <n v="90"/>
    <x v="0"/>
    <s v="2 AVENUE THOMAS EDISON"/>
    <s v="-"/>
    <s v="-"/>
    <x v="228"/>
    <s v="CHASSENEUIL DU POITOU"/>
    <s v="0.361313"/>
    <s v="46.668182"/>
    <s v="Centre ville"/>
    <d v="2025-01-01T00:00:00"/>
    <d v="2025-01-01T00:00:00"/>
    <s v="Franchisee"/>
    <s v="BERNADETTE GIRAULT"/>
    <s v="Dominique CHEVANC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1197"/>
    <s v="IBIS STYLES LE PUY EN VELAY"/>
    <x v="2"/>
    <s v="01/01/1997"/>
    <n v="50"/>
    <x v="0"/>
    <s v="47 BD DU MARÉCHAL FAYOLLE"/>
    <s v="-"/>
    <s v="-"/>
    <x v="193"/>
    <s v="LE PUY EN VELAY"/>
    <s v="3.888229"/>
    <s v="45.04288"/>
    <s v="Centre ville"/>
    <d v="2025-01-01T00:00:00"/>
    <d v="2025-01-01T00:00:00"/>
    <s v="Franchisee"/>
    <s v="EMMANUEL CRESPY"/>
    <s v="Jean-Claude FOUCHET"/>
    <x v="0"/>
    <n v="1.5"/>
    <n v="0.7"/>
    <s v="January"/>
    <n v="0.6"/>
    <s v="August"/>
    <n v="0.8"/>
    <x v="0"/>
    <x v="0"/>
    <s v="No"/>
    <s v="Yes"/>
    <n v="1"/>
    <n v="1"/>
    <n v="0"/>
    <s v="-"/>
    <n v="0.5"/>
    <n v="0.5"/>
    <n v="0.4"/>
    <n v="0.6"/>
  </r>
  <r>
    <s v="H1199"/>
    <s v="IBIS SISTERON"/>
    <x v="0"/>
    <s v="01/01/1997"/>
    <n v="64"/>
    <x v="0"/>
    <s v="1 ALLÉE DES TILLEULS"/>
    <s v="PARC D'ACTIVITÉS SISTERON NORD"/>
    <s v="-"/>
    <x v="229"/>
    <s v="SISTERON"/>
    <s v="5.913713"/>
    <s v="44.225982"/>
    <s v="Centre ville"/>
    <d v="2025-01-01T00:00:00"/>
    <d v="2025-01-01T00:00:00"/>
    <s v="Franchisee"/>
    <s v="C.F.H"/>
    <s v="Alexandra LAUNAY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1200"/>
    <s v="IBIS MARSEILLE TIMONE"/>
    <x v="0"/>
    <s v="01/09/1991"/>
    <n v="89"/>
    <x v="0"/>
    <s v="107 BOULEVARD SAKAKINI"/>
    <s v="-"/>
    <s v="-"/>
    <x v="230"/>
    <s v="MARSEILLE"/>
    <s v="5.401444"/>
    <s v="43.292553"/>
    <s v="Centre ville"/>
    <d v="2025-01-01T00:00:00"/>
    <d v="2025-01-01T00:00:00"/>
    <s v="Franchisee"/>
    <s v="CASTELLET HOSPITALITY"/>
    <s v="Alexandra LAUNAY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211"/>
    <s v="MERCURE ALBI BASTIDES"/>
    <x v="1"/>
    <s v="01/01/1770"/>
    <n v="68"/>
    <x v="0"/>
    <s v="41 BIS RUE PORTA"/>
    <s v="-"/>
    <s v="-"/>
    <x v="231"/>
    <s v="ALBI"/>
    <s v="2.146379"/>
    <s v="43.932802"/>
    <s v="Centre ville"/>
    <d v="2025-01-01T00:00:00"/>
    <d v="2025-01-01T00:00:00"/>
    <s v="Franchisee"/>
    <s v="THIERRY LAFOND"/>
    <s v="Jean Francois SANCHEZ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212"/>
    <s v="NOVOTEL ANGERS LAC DE MAINE"/>
    <x v="3"/>
    <s v="01/10/1978"/>
    <n v="79"/>
    <x v="0"/>
    <s v="2 ALLÉE DU GRAND LAUNAY"/>
    <s v="-"/>
    <s v="-"/>
    <x v="232"/>
    <s v="ANGERS"/>
    <s v="-0.593973"/>
    <s v="47.468616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0"/>
    <x v="0"/>
    <s v="No"/>
    <s v="Yes"/>
    <n v="16"/>
    <n v="1"/>
    <n v="0"/>
    <s v="-"/>
    <n v="0.5"/>
    <n v="0.5"/>
    <n v="0.4"/>
    <n v="0.6"/>
  </r>
  <r>
    <s v="H1213"/>
    <s v="MERCURE ANGOULEME HL FRANCE"/>
    <x v="1"/>
    <s v="24/06/1991"/>
    <n v="89"/>
    <x v="0"/>
    <s v="1 PLACE DES HALLES CENTRALES"/>
    <s v="-"/>
    <s v="-"/>
    <x v="233"/>
    <s v="ANGOULEME"/>
    <s v="0.1578"/>
    <s v="45.649501"/>
    <s v="Centre ville"/>
    <d v="2025-01-01T00:00:00"/>
    <d v="2025-01-01T00:00:00"/>
    <s v="Franchisee"/>
    <s v="BOISSEE FINANCES"/>
    <s v="Dominique CHEVANCE"/>
    <x v="0"/>
    <n v="1.5"/>
    <n v="0.7"/>
    <s v="January"/>
    <n v="0.6"/>
    <s v="August"/>
    <n v="0.8"/>
    <x v="0"/>
    <x v="0"/>
    <s v="No"/>
    <s v="Yes"/>
    <n v="10"/>
    <n v="1"/>
    <n v="0"/>
    <s v="-"/>
    <n v="0.5"/>
    <n v="0.5"/>
    <n v="0.4"/>
    <n v="0.6"/>
  </r>
  <r>
    <s v="H1215"/>
    <s v="MERCURE BAYEUX OMAHA BEACH"/>
    <x v="1"/>
    <s v="01/03/1989"/>
    <n v="74"/>
    <x v="0"/>
    <s v="CHEMIN DU COLOMBIER"/>
    <s v="-"/>
    <s v="-"/>
    <x v="234"/>
    <s v="PORT EN BESSIN"/>
    <s v="-0.768353"/>
    <s v="49.341382"/>
    <s v="Centre ville"/>
    <d v="2025-01-01T00:00:00"/>
    <d v="2025-01-01T00:00:00"/>
    <s v="Franchisee"/>
    <s v="ATYPIO"/>
    <s v="Ronan LE MEUR"/>
    <x v="1"/>
    <n v="1.5"/>
    <n v="0.7"/>
    <s v="January"/>
    <n v="0.6"/>
    <s v="August"/>
    <n v="0.8"/>
    <x v="2"/>
    <x v="0"/>
    <s v="No"/>
    <s v="Yes"/>
    <n v="5"/>
    <s v="-"/>
    <n v="1"/>
    <n v="2"/>
    <n v="0.5"/>
    <n v="0.5"/>
    <n v="0.4"/>
    <n v="0.6"/>
  </r>
  <r>
    <s v="H1217"/>
    <s v="MERCURE BEAUNE CENTRE"/>
    <x v="1"/>
    <s v="02/05/1976"/>
    <n v="107"/>
    <x v="1"/>
    <s v="7 AVENUE CHARLES DE GAULLE"/>
    <s v="-"/>
    <s v="-"/>
    <x v="192"/>
    <s v="BEAUNE"/>
    <s v="4.83775"/>
    <s v="47.017036"/>
    <s v="Centre ville"/>
    <d v="2025-01-01T00:00:00"/>
    <d v="2025-01-01T00:00:00"/>
    <s v="Franchisee"/>
    <s v="JEAN-LOUIS MEYER"/>
    <s v="Eric MARAIS"/>
    <x v="0"/>
    <n v="1.5"/>
    <n v="0.7"/>
    <s v="January"/>
    <n v="0.6"/>
    <s v="August"/>
    <n v="0.8"/>
    <x v="0"/>
    <x v="0"/>
    <s v="No"/>
    <s v="Yes"/>
    <n v="8"/>
    <s v="-"/>
    <n v="0"/>
    <n v="1"/>
    <n v="0.5"/>
    <n v="0.5"/>
    <n v="0.4"/>
    <n v="0.6"/>
  </r>
  <r>
    <s v="H1220"/>
    <s v="MERCURE BESANCON PRC MICAUD"/>
    <x v="1"/>
    <s v="01/08/1969"/>
    <n v="91"/>
    <x v="0"/>
    <s v="3 AVENUE EDOUARD DROZ"/>
    <s v="-"/>
    <s v="-"/>
    <x v="43"/>
    <s v="BESANCON"/>
    <s v="6.031634"/>
    <s v="47.242014"/>
    <s v="Centre ville"/>
    <d v="2025-01-01T00:00:00"/>
    <d v="2025-01-01T00:00:00"/>
    <s v="Franchisee"/>
    <s v="PAUL FERRE"/>
    <s v="Eric MARAIS"/>
    <x v="1"/>
    <n v="1.5"/>
    <n v="0.7"/>
    <s v="January"/>
    <n v="0.6"/>
    <s v="August"/>
    <n v="0.8"/>
    <x v="0"/>
    <x v="1"/>
    <s v="No"/>
    <s v="Yes"/>
    <n v="6"/>
    <s v="-"/>
    <n v="0"/>
    <s v="-"/>
    <n v="0.5"/>
    <n v="0.5"/>
    <n v="0.4"/>
    <n v="0.6"/>
  </r>
  <r>
    <s v="H1223"/>
    <s v="MERCURE CABOURG AND SPA"/>
    <x v="1"/>
    <s v="04/03/1988"/>
    <n v="82"/>
    <x v="0"/>
    <s v="AVENUE MICHEL D'ORNANO"/>
    <s v="-"/>
    <s v="-"/>
    <x v="235"/>
    <s v="CABOURG"/>
    <s v="-0.118338"/>
    <s v="49.281929"/>
    <s v="Centre ville"/>
    <d v="2025-01-01T00:00:00"/>
    <d v="2025-01-01T00:00:00"/>
    <s v="Franchisee"/>
    <s v="BLACHER-DUPONT"/>
    <s v="Ronan LE MEUR"/>
    <x v="0"/>
    <n v="1.5"/>
    <n v="0.7"/>
    <s v="January"/>
    <n v="0.6"/>
    <s v="August"/>
    <n v="0.8"/>
    <x v="0"/>
    <x v="1"/>
    <s v="No"/>
    <s v="Yes"/>
    <s v="-"/>
    <n v="2"/>
    <n v="1"/>
    <n v="1"/>
    <n v="0.5"/>
    <n v="0.5"/>
    <n v="0.4"/>
    <n v="0.6"/>
  </r>
  <r>
    <s v="H1227"/>
    <s v="MERCURE DIJON CTR CLEMENCEAU"/>
    <x v="1"/>
    <s v="01/04/1980"/>
    <n v="123"/>
    <x v="1"/>
    <s v="22 BOULEVARD DE LA MARNE"/>
    <s v="-"/>
    <s v="-"/>
    <x v="115"/>
    <s v="DIJON"/>
    <s v="5.051211"/>
    <s v="47.328185"/>
    <s v="Centre ville"/>
    <d v="2025-01-01T00:00:00"/>
    <d v="2025-01-01T00:00:00"/>
    <s v="Franchisee"/>
    <s v="FAMILLE JACQUIER"/>
    <s v="Eric MARAIS"/>
    <x v="1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1230"/>
    <s v="MERCURE GRANDE MOTTE PORT"/>
    <x v="1"/>
    <s v="19/05/1972"/>
    <n v="117"/>
    <x v="1"/>
    <s v="140 RUE DU PORT"/>
    <s v="-"/>
    <s v="-"/>
    <x v="236"/>
    <s v="LA GRANDE MOTTE"/>
    <s v="4.083835"/>
    <s v="43.558485"/>
    <s v="Centre ville"/>
    <d v="2025-01-01T00:00:00"/>
    <d v="2025-01-01T00:00:00"/>
    <s v="Managed"/>
    <s v="ACCORINVEST FRANCE"/>
    <s v="Yoan SAUTOU"/>
    <x v="1"/>
    <n v="1.5"/>
    <n v="0.7"/>
    <s v="January"/>
    <n v="0.6"/>
    <s v="August"/>
    <n v="0.8"/>
    <x v="1"/>
    <x v="0"/>
    <s v="No"/>
    <s v="Yes"/>
    <n v="13"/>
    <s v="-"/>
    <n v="0"/>
    <n v="1"/>
    <n v="0.5"/>
    <n v="0.5"/>
    <n v="0.4"/>
    <n v="0.6"/>
  </r>
  <r>
    <s v="H1233"/>
    <s v="MERCURE METZ CENTRE"/>
    <x v="1"/>
    <s v="01/09/1977"/>
    <n v="112"/>
    <x v="1"/>
    <s v="29 PLACE SAINT THIEBAULT"/>
    <s v="-"/>
    <s v="-"/>
    <x v="91"/>
    <s v="METZ"/>
    <s v="6.177082"/>
    <s v="49.112824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245"/>
    <s v="MERCURE PARIS ROISSY CDG"/>
    <x v="1"/>
    <s v="01/07/1989"/>
    <n v="202"/>
    <x v="6"/>
    <s v="3 ALLEE DU VERGER"/>
    <s v="-"/>
    <s v="-"/>
    <x v="156"/>
    <s v="ROISSY"/>
    <s v="2.520723"/>
    <s v="49.004324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1246"/>
    <s v="MERCURE PARIS ORLY AIRPORT"/>
    <x v="1"/>
    <s v="01/01/1973"/>
    <n v="189"/>
    <x v="3"/>
    <s v="12 AVENUE JACQUELINE AURIOL"/>
    <s v="ORLYTECH"/>
    <s v="-"/>
    <x v="237"/>
    <s v="ORLY"/>
    <s v="2.360966"/>
    <s v="48.740693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0"/>
    <s v="No"/>
    <s v="Yes"/>
    <n v="5"/>
    <n v="1"/>
    <n v="0"/>
    <s v="-"/>
    <n v="0.5"/>
    <n v="0.5"/>
    <n v="0.4"/>
    <n v="0.6"/>
  </r>
  <r>
    <s v="H1249"/>
    <s v="MERCURE RENNES CENTRE GARE"/>
    <x v="1"/>
    <s v="01/01/1974"/>
    <n v="142"/>
    <x v="1"/>
    <s v="1 RUE DU CAPITAINE MAIGNAN"/>
    <s v="-"/>
    <s v="-"/>
    <x v="136"/>
    <s v="RENNES"/>
    <s v="-1.678371"/>
    <s v="48.104336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1"/>
    <s v="No"/>
    <s v="Yes"/>
    <n v="9"/>
    <s v="-"/>
    <n v="0"/>
    <s v="-"/>
    <n v="0.5"/>
    <n v="0.5"/>
    <n v="0.4"/>
    <n v="0.6"/>
  </r>
  <r>
    <s v="H1251"/>
    <s v="MERCURE ROUEN VAL DE REUIL"/>
    <x v="1"/>
    <s v="15/02/1975"/>
    <n v="70"/>
    <x v="0"/>
    <s v="7 VOIE DES CLOUETS"/>
    <s v="-"/>
    <s v="-"/>
    <x v="238"/>
    <s v="LE VAUDREUIL VAL DE REUIL"/>
    <s v="1.182489"/>
    <s v="49.249235"/>
    <s v="Centre ville"/>
    <d v="2025-01-01T00:00:00"/>
    <d v="2025-01-01T00:00:00"/>
    <s v="Franchisee"/>
    <s v="FAMILLE DEWAVRIN"/>
    <s v="Thomas COSTES"/>
    <x v="0"/>
    <n v="1.5"/>
    <n v="0.7"/>
    <s v="January"/>
    <n v="0.6"/>
    <s v="August"/>
    <n v="0.8"/>
    <x v="0"/>
    <x v="0"/>
    <s v="No"/>
    <s v="Yes"/>
    <n v="3"/>
    <n v="1"/>
    <n v="0"/>
    <s v="-"/>
    <n v="0.5"/>
    <n v="0.5"/>
    <n v="0.4"/>
    <n v="0.6"/>
  </r>
  <r>
    <s v="H1260"/>
    <s v="MERCURE TOULOUSE WILSON"/>
    <x v="1"/>
    <s v="01/01/1964"/>
    <n v="95"/>
    <x v="0"/>
    <s v="7 RUE LABEDA"/>
    <s v="-"/>
    <s v="-"/>
    <x v="19"/>
    <s v="TOULOUSE"/>
    <s v="1.448382"/>
    <s v="43.604654"/>
    <s v="Centre ville"/>
    <d v="2025-01-01T00:00:00"/>
    <d v="2025-01-01T00:00:00"/>
    <s v="Managed"/>
    <s v="ACCORINVEST FRANCE"/>
    <s v="Philippe DUCROCQ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263"/>
    <s v="MERCURE MONT SAINT MICHEL"/>
    <x v="1"/>
    <s v="01/01/1973"/>
    <n v="100"/>
    <x v="1"/>
    <s v="ROUTE DU MONT SAINT MICHEL"/>
    <s v="BP 8"/>
    <s v="-"/>
    <x v="239"/>
    <s v="LE MONT SAINT MICHEL"/>
    <s v="-1.510341"/>
    <s v="48.613775"/>
    <s v="Centre ville"/>
    <d v="2025-01-01T00:00:00"/>
    <d v="2025-01-01T00:00:00"/>
    <s v="Franchisee"/>
    <s v="SODETOUR"/>
    <s v="Jean-Francois STEBLER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1264"/>
    <s v="MERCURE MULHOUSE CENTRE"/>
    <x v="1"/>
    <s v="01/01/1969"/>
    <n v="92"/>
    <x v="0"/>
    <s v="4  PLACE DU GÉNÉRAL DE GAULLE"/>
    <s v="-"/>
    <s v="-"/>
    <x v="240"/>
    <s v="MULHOUSE"/>
    <s v="7.342099"/>
    <s v="47.743616"/>
    <s v="Centre ville"/>
    <d v="2025-01-01T00:00:00"/>
    <d v="2025-01-01T00:00:00"/>
    <s v="Franchisee"/>
    <s v="FAYCAL DOUADI"/>
    <s v="Eric MARAIS"/>
    <x v="1"/>
    <n v="1.5"/>
    <n v="0.7"/>
    <s v="January"/>
    <n v="0.6"/>
    <s v="August"/>
    <n v="0.8"/>
    <x v="0"/>
    <x v="0"/>
    <s v="No"/>
    <s v="Yes"/>
    <n v="5"/>
    <n v="1"/>
    <n v="1"/>
    <s v="-"/>
    <n v="0.5"/>
    <n v="0.5"/>
    <n v="0.4"/>
    <n v="0.6"/>
  </r>
  <r>
    <s v="H1269"/>
    <s v="MERCURE NIORT MARAIS POITEVIN"/>
    <x v="1"/>
    <s v="25/03/1989"/>
    <n v="99"/>
    <x v="0"/>
    <s v="27 RUE DE LA TÉRRAUDIÈRE"/>
    <s v="80 BIS AVENUE DE PARIS"/>
    <s v="-"/>
    <x v="241"/>
    <s v="NIORT"/>
    <s v="-0.453798"/>
    <s v="46.324023"/>
    <s v="Centre ville"/>
    <d v="2025-01-01T00:00:00"/>
    <d v="2025-01-01T00:00:00"/>
    <s v="Franchisee"/>
    <s v="FERRE HOTELS"/>
    <s v="Dominique CHEVANCE"/>
    <x v="0"/>
    <n v="1.5"/>
    <n v="0.7"/>
    <s v="January"/>
    <n v="0.6"/>
    <s v="August"/>
    <n v="0.8"/>
    <x v="0"/>
    <x v="0"/>
    <s v="No"/>
    <s v="Yes"/>
    <n v="8"/>
    <n v="1"/>
    <n v="0"/>
    <n v="1"/>
    <n v="0.5"/>
    <n v="0.5"/>
    <n v="0.4"/>
    <n v="0.6"/>
  </r>
  <r>
    <s v="H1273"/>
    <s v="MERCURE ROUEN CHAMP DE MARS"/>
    <x v="1"/>
    <s v="01/05/1990"/>
    <n v="107"/>
    <x v="1"/>
    <s v="12 BIS AVENUE ARISTIDE BRIAND"/>
    <s v="-"/>
    <s v="-"/>
    <x v="242"/>
    <s v="ROUEN"/>
    <s v="1.102686"/>
    <s v="49.43577"/>
    <s v="Centre ville"/>
    <d v="2025-01-01T00:00:00"/>
    <d v="2025-01-01T00:00:00"/>
    <s v="Franchisee"/>
    <s v="ATYPIO"/>
    <s v="Ronan LE MEUR"/>
    <x v="0"/>
    <n v="1.5"/>
    <n v="0.7"/>
    <s v="January"/>
    <n v="0.6"/>
    <s v="August"/>
    <n v="0.8"/>
    <x v="0"/>
    <x v="0"/>
    <s v="No"/>
    <s v="Yes"/>
    <n v="11"/>
    <s v="-"/>
    <n v="0"/>
    <s v="-"/>
    <n v="0.5"/>
    <n v="0.5"/>
    <n v="0.4"/>
    <n v="0.6"/>
  </r>
  <r>
    <s v="H1281"/>
    <s v="MERCURE BORDEAUX CENTRE"/>
    <x v="1"/>
    <s v="01/08/1975"/>
    <n v="194"/>
    <x v="3"/>
    <s v="5 RUE ROBERT LATEULADE"/>
    <s v="-"/>
    <s v="-"/>
    <x v="186"/>
    <s v="BORDEAUX"/>
    <s v="-0.586266"/>
    <s v="44.83851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0"/>
    <s v="No"/>
    <s v="Yes"/>
    <n v="8"/>
    <n v="1"/>
    <n v="0"/>
    <s v="-"/>
    <n v="0.5"/>
    <n v="0.5"/>
    <n v="0.4"/>
    <n v="0.6"/>
  </r>
  <r>
    <s v="H1291"/>
    <s v="MERCURE NICE CTR NOTRE DAME"/>
    <x v="1"/>
    <s v="01/01/1974"/>
    <n v="198"/>
    <x v="3"/>
    <s v="28 AVENUE NOTRE DAME"/>
    <s v="-"/>
    <s v="-"/>
    <x v="14"/>
    <s v="NICE"/>
    <s v="7.266458"/>
    <s v="43.703529"/>
    <s v="Centre ville"/>
    <d v="2025-01-01T00:00:00"/>
    <d v="2025-01-01T00:00:00"/>
    <s v="Franchisee"/>
    <s v="TURENNE CAPITAL"/>
    <s v="Marion BOROT"/>
    <x v="0"/>
    <n v="1.5"/>
    <n v="0.7"/>
    <s v="January"/>
    <n v="0.6"/>
    <s v="August"/>
    <n v="0.8"/>
    <x v="0"/>
    <x v="1"/>
    <s v="No"/>
    <s v="Yes"/>
    <n v="2"/>
    <n v="1"/>
    <n v="0"/>
    <n v="1"/>
    <n v="0.5"/>
    <n v="0.5"/>
    <n v="0.4"/>
    <n v="0.6"/>
  </r>
  <r>
    <s v="H1292"/>
    <s v="MERCURE LYON CENTRE PERRACHE"/>
    <x v="1"/>
    <s v="01/01/1906"/>
    <n v="120"/>
    <x v="1"/>
    <s v="12 COURS DE  VERDUN RAMBAUD"/>
    <s v="ESPLANADE DE LA GARE"/>
    <s v="-"/>
    <x v="243"/>
    <s v="LYON"/>
    <s v="4.824919"/>
    <s v="45.749492"/>
    <s v="Centre ville"/>
    <d v="2025-01-01T00:00:00"/>
    <d v="2025-01-01T00:00:00"/>
    <s v="Franchisee"/>
    <s v="SOHOMA"/>
    <s v="Katia GARNIER"/>
    <x v="0"/>
    <n v="1.5"/>
    <n v="0.7"/>
    <s v="January"/>
    <n v="0.6"/>
    <s v="August"/>
    <n v="0.8"/>
    <x v="0"/>
    <x v="0"/>
    <s v="No"/>
    <s v="Yes"/>
    <n v="11"/>
    <n v="1"/>
    <n v="0"/>
    <s v="-"/>
    <n v="0.5"/>
    <n v="0.5"/>
    <n v="0.4"/>
    <n v="0.6"/>
  </r>
  <r>
    <s v="H1298"/>
    <s v="MERCURE PARIS ORLY RUNGIS"/>
    <x v="1"/>
    <s v="01/02/1971"/>
    <n v="190"/>
    <x v="3"/>
    <s v="20 AVENUE CHARLES LINDBERGH"/>
    <s v="-"/>
    <s v="-"/>
    <x v="244"/>
    <s v="RUNGIS"/>
    <s v="2.3459"/>
    <s v="48.756164"/>
    <s v="Centre ville"/>
    <d v="2025-01-01T00:00:00"/>
    <d v="2025-01-01T00:00:00"/>
    <s v="Managed"/>
    <s v="JAANA MOATTI"/>
    <s v="Stephanie BAUME"/>
    <x v="1"/>
    <n v="1.5"/>
    <n v="0.7"/>
    <s v="January"/>
    <n v="0.6"/>
    <s v="August"/>
    <n v="0.8"/>
    <x v="0"/>
    <x v="0"/>
    <s v="No"/>
    <s v="Yes"/>
    <n v="24"/>
    <n v="1"/>
    <n v="0"/>
    <s v="-"/>
    <n v="0.5"/>
    <n v="0.5"/>
    <n v="0.4"/>
    <n v="0.6"/>
  </r>
  <r>
    <s v="H1301"/>
    <s v="MERCURE ROUEN CENTRE CATHEDRALE"/>
    <x v="1"/>
    <s v="01/05/1976"/>
    <n v="125"/>
    <x v="1"/>
    <s v="7 RUE CROIX DE FER"/>
    <s v="ACCÈS PARKING VIA RUE DES ARSINS"/>
    <s v="-"/>
    <x v="242"/>
    <s v="ROUEN"/>
    <s v="1.095359"/>
    <s v="49.441372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0"/>
    <x v="0"/>
    <s v="No"/>
    <s v="Yes"/>
    <s v="-"/>
    <n v="1"/>
    <n v="0"/>
    <s v="-"/>
    <n v="0.5"/>
    <n v="0.5"/>
    <n v="0.4"/>
    <n v="0.6"/>
  </r>
  <r>
    <s v="H1302"/>
    <s v="NOVOTEL BOURGES"/>
    <x v="3"/>
    <s v="01/07/1991"/>
    <n v="93"/>
    <x v="0"/>
    <s v="ZAC ORCHIDEE CESAR"/>
    <s v="ROUTE DE CHATEAUROUX"/>
    <s v="-"/>
    <x v="245"/>
    <s v="LE SUBDRAY"/>
    <s v="2.330582"/>
    <s v="47.044898"/>
    <s v="Centre ville"/>
    <d v="2025-01-01T00:00:00"/>
    <d v="2025-01-01T00:00:00"/>
    <s v="Franchisee"/>
    <s v="GEST HOTEL"/>
    <s v="Bruno COQUAZ"/>
    <x v="0"/>
    <n v="1.5"/>
    <n v="0.7"/>
    <s v="January"/>
    <n v="0.6"/>
    <s v="August"/>
    <n v="0.8"/>
    <x v="0"/>
    <x v="0"/>
    <s v="No"/>
    <s v="Yes"/>
    <n v="8"/>
    <n v="1"/>
    <n v="0"/>
    <n v="1"/>
    <n v="0.5"/>
    <n v="0.5"/>
    <n v="0.4"/>
    <n v="0.6"/>
  </r>
  <r>
    <s v="H1357"/>
    <s v="NOVOTEL ANNECY CENTRE"/>
    <x v="3"/>
    <s v="01/01/1992"/>
    <n v="95"/>
    <x v="0"/>
    <s v="1 PLACE MARIE CURIE"/>
    <s v="1 AVENUE BERTHOLLET"/>
    <s v="-"/>
    <x v="85"/>
    <s v="ANNECY"/>
    <e v="#N/A"/>
    <e v="#N/A"/>
    <s v="Centre ville"/>
    <d v="2025-01-01T00:00:00"/>
    <d v="2025-01-01T00:00:00"/>
    <s v="Managed"/>
    <s v="ACCORINVEST FRANCE"/>
    <s v="Yoan SAUTOU"/>
    <x v="0"/>
    <n v="1.5"/>
    <n v="0.7"/>
    <s v="January"/>
    <n v="0.6"/>
    <s v="August"/>
    <n v="0.8"/>
    <x v="0"/>
    <x v="0"/>
    <s v="No"/>
    <s v="Yes"/>
    <n v="12"/>
    <s v="-"/>
    <n v="0"/>
    <s v="-"/>
    <n v="0.5"/>
    <n v="0.5"/>
    <n v="0.4"/>
    <n v="0.6"/>
  </r>
  <r>
    <s v="H1358"/>
    <s v="MERCURE AJACCIO"/>
    <x v="1"/>
    <s v="01/02/1990"/>
    <n v="84"/>
    <x v="0"/>
    <s v="115 COURS NAPOLÉON"/>
    <s v="-"/>
    <s v="-"/>
    <x v="246"/>
    <s v="AJACCIO"/>
    <s v="8.74045"/>
    <s v="41.932319"/>
    <s v="Centre ville"/>
    <d v="2025-01-01T00:00:00"/>
    <d v="2025-01-01T00:00:00"/>
    <s v="Franchisee"/>
    <s v="JEAN-MARC SANTARELLI"/>
    <s v="Alexandra LAUNAY"/>
    <x v="0"/>
    <n v="1.5"/>
    <n v="0.7"/>
    <s v="January"/>
    <n v="0.6"/>
    <s v="August"/>
    <n v="0.8"/>
    <x v="0"/>
    <x v="1"/>
    <s v="No"/>
    <s v="Yes"/>
    <n v="2"/>
    <n v="2"/>
    <n v="0"/>
    <n v="1"/>
    <n v="0.5"/>
    <n v="0.5"/>
    <n v="0.4"/>
    <n v="0.6"/>
  </r>
  <r>
    <s v="H1361"/>
    <s v="IBIS AUXERRE CENTRE"/>
    <x v="0"/>
    <s v="01/07/1987"/>
    <n v="65"/>
    <x v="0"/>
    <s v="HÔTEL IBIS AUXERRE CENTRE"/>
    <s v="1 AVENUE JEAN JAURÈS"/>
    <s v="-"/>
    <x v="247"/>
    <s v="AUXERRE"/>
    <s v="3.578708"/>
    <s v="47.796577"/>
    <s v="Centre ville"/>
    <d v="2025-01-01T00:00:00"/>
    <d v="2025-01-01T00:00:00"/>
    <s v="Franchisee"/>
    <s v="ALAIN GEHIN"/>
    <s v="Bruno COQUA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362"/>
    <s v="IBIS AVIGNON CTRE PONT EUROPE"/>
    <x v="0"/>
    <s v="01/01/1990"/>
    <n v="74"/>
    <x v="0"/>
    <s v="12 BOULEVARD SAINT DOMINIQUE"/>
    <s v="-"/>
    <s v="-"/>
    <x v="42"/>
    <s v="AVIGNON"/>
    <s v="4.798911"/>
    <s v="43.943532"/>
    <s v="Centre ville"/>
    <d v="2025-01-01T00:00:00"/>
    <d v="2025-01-01T00:00:00"/>
    <s v="Franchisee"/>
    <s v="FAMILLE LE CARDIET"/>
    <s v="Jean-Claude FOUCHE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363"/>
    <s v="IBIS BEAUNE CENTRE"/>
    <x v="0"/>
    <s v="01/03/1985"/>
    <n v="74"/>
    <x v="0"/>
    <s v="7 RUE HENRI DUNANT"/>
    <s v="-"/>
    <s v="-"/>
    <x v="192"/>
    <s v="BEAUNE"/>
    <s v="4.835057"/>
    <s v="47.019728"/>
    <s v="Centre ville"/>
    <d v="2025-01-01T00:00:00"/>
    <d v="2025-01-01T00:00:00"/>
    <s v="Franchisee"/>
    <s v="GROUPE DESFOSSEY"/>
    <s v="Eric MARAIS"/>
    <x v="0"/>
    <n v="1.5"/>
    <n v="0.7"/>
    <s v="January"/>
    <n v="0.6"/>
    <s v="August"/>
    <n v="0.8"/>
    <x v="0"/>
    <x v="1"/>
    <s v="No"/>
    <s v="Yes"/>
    <n v="5"/>
    <s v="-"/>
    <n v="0"/>
    <n v="1"/>
    <n v="0.5"/>
    <n v="0.5"/>
    <n v="0.4"/>
    <n v="0.6"/>
  </r>
  <r>
    <s v="H1364"/>
    <s v="IBIS BESANCON CENTRE VILLE"/>
    <x v="0"/>
    <s v="01/03/1987"/>
    <n v="49"/>
    <x v="4"/>
    <s v="21 RUE GAMBETTA"/>
    <s v="-"/>
    <s v="-"/>
    <x v="43"/>
    <s v="BESANCON"/>
    <s v="6.026064"/>
    <s v="47.240503"/>
    <s v="Centre ville"/>
    <d v="2025-01-01T00:00:00"/>
    <d v="2025-01-01T00:00:00"/>
    <s v="Franchisee"/>
    <s v="PATRICE LOFFROY"/>
    <s v="Eric MARAI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367"/>
    <s v="BOULOGNE CENTRE CATHEDRALE"/>
    <x v="2"/>
    <s v="01/12/1989"/>
    <n v="49"/>
    <x v="4"/>
    <s v="62 RUE PORTE NEUVE"/>
    <s v="-"/>
    <s v="-"/>
    <x v="248"/>
    <s v="BOULOGNE SUR MER"/>
    <s v="1.617125"/>
    <s v="50.726683"/>
    <s v="Centre ville"/>
    <d v="2025-01-01T00:00:00"/>
    <d v="2025-01-01T00:00:00"/>
    <s v="Franchisee"/>
    <s v="MIGUEL TOULEMONDE"/>
    <s v="Muriel JACQUELI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369"/>
    <s v="IBIS BREST CENTRE"/>
    <x v="0"/>
    <s v="01/05/1990"/>
    <n v="71"/>
    <x v="0"/>
    <s v="13 RUE DE SIAM"/>
    <s v="-"/>
    <s v="-"/>
    <x v="249"/>
    <s v="BREST"/>
    <s v="-4.492791"/>
    <s v="48.385069"/>
    <s v="Centre ville"/>
    <d v="2025-01-01T00:00:00"/>
    <d v="2025-01-01T00:00:00"/>
    <s v="Franchisee"/>
    <s v="YOLAINE ANSQUER"/>
    <s v="Jean-Luc RABAUL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370"/>
    <s v="HOTEL IBIS CANNES CENTRE"/>
    <x v="0"/>
    <s v="01/07/1990"/>
    <n v="60"/>
    <x v="0"/>
    <s v="8 RUE MARCEAU"/>
    <s v="-"/>
    <s v="-"/>
    <x v="250"/>
    <s v="CANNES"/>
    <s v="7.024342"/>
    <s v="43.553001"/>
    <s v="Centre ville"/>
    <d v="2025-01-01T00:00:00"/>
    <d v="2025-01-01T00:00:00"/>
    <s v="Franchisee"/>
    <s v="FREDERIC ESCLAPEZ"/>
    <s v="Marion BORO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371"/>
    <s v="IBIS CARCASSONNE CENTRE LA CITE"/>
    <x v="0"/>
    <s v="01/01/1986"/>
    <n v="48"/>
    <x v="4"/>
    <s v="5 SQUARE GAMBETTA"/>
    <s v="-"/>
    <s v="-"/>
    <x v="95"/>
    <s v="CARCASSONNE"/>
    <s v="2.357415"/>
    <s v="43.211615"/>
    <s v="Centre ville"/>
    <d v="2025-01-01T00:00:00"/>
    <d v="2025-01-01T00:00:00"/>
    <s v="Franchisee"/>
    <s v="EMMANUEL SANTIAGO"/>
    <s v="Jean Francois SANCHE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377"/>
    <s v="IBIS COLMAR CENTRE"/>
    <x v="0"/>
    <s v="01/01/1989"/>
    <n v="61"/>
    <x v="0"/>
    <s v="10 RUE SAINT ELOI"/>
    <s v="-"/>
    <s v="-"/>
    <x v="52"/>
    <s v="COLMAR"/>
    <s v="7.36336"/>
    <s v="48.079288"/>
    <s v="Centre ville"/>
    <d v="2025-01-01T00:00:00"/>
    <d v="2025-01-01T00:00:00"/>
    <s v="Franchisee"/>
    <s v="CORINNE CHEVILLARD"/>
    <s v="Eric MARAI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380"/>
    <s v="IBIS DIJON GARE"/>
    <x v="0"/>
    <s v="01/04/1977"/>
    <n v="128"/>
    <x v="1"/>
    <s v="15A  AVENUE ALBERT 1ER"/>
    <s v="-"/>
    <s v="-"/>
    <x v="115"/>
    <s v="DIJON"/>
    <s v="5.023913"/>
    <s v="47.322558"/>
    <s v="Centre ville"/>
    <d v="2025-01-01T00:00:00"/>
    <d v="2025-01-01T00:00:00"/>
    <s v="Franchisee"/>
    <s v="FAMILLE JACQUIER"/>
    <s v="Eric MARAIS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1384"/>
    <s v="IBIS STYLES LILLE CENTRE"/>
    <x v="2"/>
    <s v="01/06/1988"/>
    <n v="140"/>
    <x v="1"/>
    <s v="172 RUE PIERRE MAUROY"/>
    <s v="-"/>
    <s v="-"/>
    <x v="153"/>
    <s v="LILLE"/>
    <s v="3.068035"/>
    <s v="50.632473"/>
    <s v="Centre ville"/>
    <d v="2025-01-01T00:00:00"/>
    <d v="2025-01-01T00:00:00"/>
    <s v="Franchisee"/>
    <s v="GROUPE COVIVIO"/>
    <s v="Hubert VANQUATHEM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1388"/>
    <s v="IBIS LYON PART DIEU LES HALLES"/>
    <x v="0"/>
    <s v="01/12/1985"/>
    <n v="216"/>
    <x v="6"/>
    <s v="78 RUE  DE BONNEL"/>
    <s v="-"/>
    <s v="-"/>
    <x v="101"/>
    <s v="LYON"/>
    <s v="4.851397"/>
    <s v="45.761962"/>
    <s v="Centre ville"/>
    <d v="2025-01-01T00:00:00"/>
    <d v="2025-01-01T00:00:00"/>
    <s v="Managed"/>
    <s v="ACCORINVEST FRANCE"/>
    <s v="Yoan SAUTOU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390"/>
    <s v="IBIS MARSEILLE CENTRE GARE"/>
    <x v="0"/>
    <s v="01/01/1994"/>
    <n v="172"/>
    <x v="3"/>
    <s v="SQUARE NARVICK"/>
    <s v="ESPLANADE SAINT CHARLES"/>
    <s v="-"/>
    <x v="222"/>
    <s v="MARSEILLE"/>
    <s v="5.382614"/>
    <s v="43.302828"/>
    <s v="Centre ville"/>
    <d v="2025-01-01T00:00:00"/>
    <d v="2025-01-01T00:00:00"/>
    <s v="Managed"/>
    <s v="ACCORINVEST FRANCE"/>
    <s v="Philippe DUCROCQ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1391"/>
    <s v="IBIS MONTPELLIER CENTRE POLYGONE"/>
    <x v="0"/>
    <s v="01/08/1988"/>
    <n v="125"/>
    <x v="1"/>
    <s v="95 PLACE VAUBAN"/>
    <s v="BOULEVARD  D'ANTIGONE"/>
    <s v="-"/>
    <x v="92"/>
    <s v="MONTPELLIER"/>
    <s v="3.885716"/>
    <s v="43.60942"/>
    <s v="Centre ville"/>
    <d v="2025-01-01T00:00:00"/>
    <d v="2025-01-01T00:00:00"/>
    <s v="Franchisee"/>
    <s v="FAMILLE BANCAREL"/>
    <s v="Jean-Claude FOUCHET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393"/>
    <s v="IBIS NANCY SAINTE CATHERINE"/>
    <x v="0"/>
    <s v="01/10/1990"/>
    <n v="69"/>
    <x v="0"/>
    <s v="42 AVENUE DU 20ÈME CORPS"/>
    <s v="-"/>
    <s v="-"/>
    <x v="194"/>
    <s v="NANCY"/>
    <s v="6.191901"/>
    <s v="48.693687"/>
    <s v="Centre ville"/>
    <d v="2025-01-01T00:00:00"/>
    <d v="2025-01-01T00:00:00"/>
    <s v="Franchisee"/>
    <s v="KHALID ENNACIRI"/>
    <s v="Christophe RUQUEBOEUCHE"/>
    <x v="0"/>
    <n v="1.5"/>
    <n v="0.7"/>
    <s v="January"/>
    <n v="0.6"/>
    <s v="August"/>
    <n v="0.8"/>
    <x v="0"/>
    <x v="1"/>
    <s v="No"/>
    <s v="Yes"/>
    <n v="5"/>
    <s v="-"/>
    <n v="0"/>
    <s v="-"/>
    <n v="0.5"/>
    <n v="0.5"/>
    <n v="0.4"/>
    <n v="0.6"/>
  </r>
  <r>
    <s v="H1394"/>
    <s v="IBIS NANTES CENTRE"/>
    <x v="0"/>
    <s v="01/07/1986"/>
    <n v="140"/>
    <x v="1"/>
    <s v="19 RUE JEAN JAURES"/>
    <s v="-"/>
    <s v="-"/>
    <x v="172"/>
    <s v="NANTES"/>
    <s v="-1.560411"/>
    <s v="47.219106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396"/>
    <s v="IBIS NICE CENTRE GARE"/>
    <x v="0"/>
    <s v="01/03/1991"/>
    <n v="199"/>
    <x v="3"/>
    <s v="14 AVENUE THIERS"/>
    <s v="-"/>
    <s v="-"/>
    <x v="14"/>
    <s v="NICE"/>
    <s v="7.260804"/>
    <s v="43.703661"/>
    <s v="Centre ville"/>
    <d v="2025-01-01T00:00:00"/>
    <d v="2025-01-01T00:00:00"/>
    <s v="Managed"/>
    <s v="ACCORINVEST FRANCE"/>
    <s v="Philippe DUCROCQ"/>
    <x v="0"/>
    <n v="1.5"/>
    <n v="0.7"/>
    <s v="January"/>
    <n v="0.6"/>
    <s v="August"/>
    <n v="0.8"/>
    <x v="0"/>
    <x v="1"/>
    <s v="No"/>
    <s v="Yes"/>
    <n v="4"/>
    <s v="-"/>
    <n v="0"/>
    <n v="1"/>
    <n v="0.5"/>
    <n v="0.5"/>
    <n v="0.4"/>
    <n v="0.6"/>
  </r>
  <r>
    <s v="H1398"/>
    <s v="IBIS PAU CENTRE"/>
    <x v="0"/>
    <s v="01/03/1986"/>
    <n v="61"/>
    <x v="0"/>
    <s v="26 RUE SAMONZET"/>
    <s v="-"/>
    <s v="-"/>
    <x v="188"/>
    <s v="PAU"/>
    <s v="-0.367607"/>
    <s v="43.298245"/>
    <s v="Centre ville"/>
    <d v="2025-01-01T00:00:00"/>
    <d v="2025-01-01T00:00:00"/>
    <s v="Franchisee"/>
    <s v="HOTELINA"/>
    <s v="Jerome LANTE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399"/>
    <s v="IBIS BASTILLE OPERA"/>
    <x v="0"/>
    <s v="01/01/1997"/>
    <n v="305"/>
    <x v="2"/>
    <s v="15 RUE BREGUET"/>
    <s v="-"/>
    <s v="-"/>
    <x v="251"/>
    <s v="PARIS"/>
    <s v="2.372763"/>
    <s v="48.857209"/>
    <s v="Centre ville"/>
    <d v="2025-01-01T00:00:00"/>
    <d v="2025-01-01T00:00:00"/>
    <s v="Managed"/>
    <s v="ACCORINVEST FRANCE"/>
    <s v="Philippe JAUSSELY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1400"/>
    <s v="IBIS PARIS TOUR EIFFEL CAMBRONNE"/>
    <x v="0"/>
    <s v="01/01/1979"/>
    <n v="527"/>
    <x v="2"/>
    <s v="2 RUE CAMBRONNE"/>
    <s v="-"/>
    <s v="-"/>
    <x v="173"/>
    <s v="PARIS"/>
    <s v="2.301453"/>
    <s v="48.847653"/>
    <s v="Centre ville"/>
    <d v="2025-01-01T00:00:00"/>
    <d v="2025-01-01T00:00:00"/>
    <s v="Managed"/>
    <s v="GROUPE COVIVIO"/>
    <s v="Olivier BRISSARD"/>
    <x v="0"/>
    <n v="1.5"/>
    <n v="0.7"/>
    <s v="January"/>
    <n v="0.6"/>
    <s v="August"/>
    <n v="0.8"/>
    <x v="2"/>
    <x v="0"/>
    <s v="No"/>
    <s v="Yes"/>
    <n v="6"/>
    <s v="-"/>
    <n v="0"/>
    <s v="-"/>
    <n v="0.5"/>
    <n v="0.5"/>
    <n v="0.4"/>
    <n v="0.6"/>
  </r>
  <r>
    <s v="H1401"/>
    <s v="IBIS PARIS LA VILLETTE 19"/>
    <x v="0"/>
    <s v="30/06/1987"/>
    <n v="285"/>
    <x v="5"/>
    <s v="31-35 QUAI DE L'OISE"/>
    <s v="-"/>
    <s v="-"/>
    <x v="252"/>
    <s v="PARIS"/>
    <s v="2.384766"/>
    <s v="48.891321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402"/>
    <s v="IBIS STYLES PARIS MAIRIE ISSY"/>
    <x v="2"/>
    <s v="01/10/1989"/>
    <n v="78"/>
    <x v="0"/>
    <s v="15 AVENUE JEAN JAURES"/>
    <s v="-"/>
    <s v="-"/>
    <x v="253"/>
    <s v="ISSY LES MOULINEAUX"/>
    <s v="2.27483"/>
    <s v="48.82338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404"/>
    <s v="IBIS PARIS CDG AIRPORT"/>
    <x v="0"/>
    <s v="01/11/1980"/>
    <n v="772"/>
    <x v="2"/>
    <s v="3 RUE DE BRUXELLES"/>
    <s v="ROISSYPÔLE"/>
    <s v="-"/>
    <x v="201"/>
    <s v="ROISSY"/>
    <s v="2.560812"/>
    <s v="49.010712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2"/>
    <x v="3"/>
    <s v="No"/>
    <s v="Yes"/>
    <n v="12"/>
    <s v="-"/>
    <n v="0"/>
    <s v="-"/>
    <n v="0.5"/>
    <n v="0.5"/>
    <n v="0.4"/>
    <n v="0.6"/>
  </r>
  <r>
    <s v="H1406"/>
    <s v="IBIS STYLES POISSY"/>
    <x v="2"/>
    <s v="01/01/1997"/>
    <n v="84"/>
    <x v="0"/>
    <s v="97 AVENUE MAURICE BERTEAUX"/>
    <s v="-"/>
    <s v="-"/>
    <x v="254"/>
    <s v="POISSY"/>
    <s v="2.042556"/>
    <s v="48.933164"/>
    <s v="Centre ville"/>
    <d v="2025-01-01T00:00:00"/>
    <d v="2025-01-01T00:00:00"/>
    <s v="Franchisee"/>
    <s v="FAMILLE BARTHOLIN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407"/>
    <s v="IBIS PARIS RUEIL MALMAISON"/>
    <x v="0"/>
    <s v="01/08/1988"/>
    <n v="58"/>
    <x v="0"/>
    <s v="16 BOULEVARD DE L'HOPITAL STELL"/>
    <s v="-"/>
    <s v="-"/>
    <x v="255"/>
    <s v="RUEIL MALMAISON"/>
    <s v="2.185253"/>
    <s v="48.880188"/>
    <s v="Centre ville"/>
    <d v="2025-01-01T00:00:00"/>
    <d v="2025-01-01T00:00:00"/>
    <s v="Franchisee"/>
    <s v="JULIEN SIBERCHICOT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409"/>
    <s v="IBIS PARIS VERSAILLES CHATEAU"/>
    <x v="0"/>
    <s v="01/01/1990"/>
    <n v="85"/>
    <x v="0"/>
    <s v="4 AVENUE DU GÉNÉRAL DE GAULLE"/>
    <s v="-"/>
    <s v="-"/>
    <x v="256"/>
    <s v="VERSAILLES"/>
    <s v="2.129024"/>
    <s v="48.801529"/>
    <s v="Centre ville"/>
    <d v="2025-01-01T00:00:00"/>
    <d v="2025-01-01T00:00:00"/>
    <s v="Franchisee"/>
    <s v="MATHIEU GAD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413"/>
    <s v="IBIS PARIS COEUR D ORLY AIRPORT"/>
    <x v="0"/>
    <s v="01/01/1997"/>
    <n v="393"/>
    <x v="2"/>
    <s v="19 PROMENADE D'ORLY"/>
    <s v="-"/>
    <s v="-"/>
    <x v="237"/>
    <s v="ORLY"/>
    <s v="2.371749"/>
    <s v="48.731674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2"/>
    <s v="No"/>
    <s v="Yes"/>
    <n v="4"/>
    <s v="-"/>
    <n v="0"/>
    <s v="-"/>
    <n v="0.5"/>
    <n v="0.5"/>
    <n v="0.4"/>
    <n v="0.6"/>
  </r>
  <r>
    <s v="H1414"/>
    <s v="IBIS PARIS MARNE LA VALLEE"/>
    <x v="0"/>
    <s v="01/09/1989"/>
    <n v="110"/>
    <x v="1"/>
    <s v="8 BOULEVARD NEWTON"/>
    <s v="CITE DESCARTES"/>
    <s v="-"/>
    <x v="257"/>
    <s v="CHAMPS SUR MARNE"/>
    <s v="2.58301"/>
    <s v="48.842661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420"/>
    <s v="IBIS POITIERS CENTRE"/>
    <x v="0"/>
    <s v="01/11/1986"/>
    <n v="75"/>
    <x v="0"/>
    <s v="15 RUE DU PETIT BONNEVEAU"/>
    <s v="-"/>
    <s v="-"/>
    <x v="116"/>
    <s v="POITIERS"/>
    <s v="0.338956"/>
    <s v="46.578347"/>
    <s v="Centre ville"/>
    <d v="2025-01-01T00:00:00"/>
    <d v="2025-01-01T00:00:00"/>
    <s v="Franchisee"/>
    <s v="GROUPE KERDONIS"/>
    <s v="Dominique CHEVANC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421"/>
    <s v="MERCURE QUIMPER CENTRE"/>
    <x v="1"/>
    <s v="01/02/1965"/>
    <n v="83"/>
    <x v="0"/>
    <s v="21 BIS AVENUE DE LA GARE"/>
    <s v="-"/>
    <s v="-"/>
    <x v="111"/>
    <s v="QUIMPER"/>
    <e v="#N/A"/>
    <e v="#N/A"/>
    <s v="Centre ville"/>
    <d v="2025-01-01T00:00:00"/>
    <d v="2025-01-01T00:00:00"/>
    <s v="Franchisee"/>
    <s v="BERNARD LEFEBVRE"/>
    <s v="Jean-Luc RABAULT"/>
    <x v="0"/>
    <n v="1.5"/>
    <n v="0.7"/>
    <s v="January"/>
    <n v="0.6"/>
    <s v="August"/>
    <n v="0.8"/>
    <x v="0"/>
    <x v="1"/>
    <s v="No"/>
    <s v="Yes"/>
    <n v="7"/>
    <s v="-"/>
    <n v="0"/>
    <s v="-"/>
    <n v="0.5"/>
    <n v="0.5"/>
    <n v="0.4"/>
    <n v="0.6"/>
  </r>
  <r>
    <s v="H1423"/>
    <s v="IBIS ROCHEFORT"/>
    <x v="0"/>
    <s v="01/04/1987"/>
    <n v="66"/>
    <x v="0"/>
    <s v="1-3 RUE BEGON."/>
    <s v="-"/>
    <s v="-"/>
    <x v="258"/>
    <s v="ROCHEFORT"/>
    <s v="-0.959995"/>
    <s v="45.94252"/>
    <s v="Centre ville"/>
    <d v="2025-01-01T00:00:00"/>
    <d v="2025-01-01T00:00:00"/>
    <s v="Franchisee"/>
    <s v="JEROME PLADEC"/>
    <s v="Jerome LANTERNI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424"/>
    <s v="IBIS LA ROCHELLE CENTRE V V"/>
    <x v="0"/>
    <s v="01/07/1986"/>
    <n v="61"/>
    <x v="0"/>
    <s v="1 TER RUE  FLEURIAU"/>
    <s v="-"/>
    <s v="-"/>
    <x v="88"/>
    <s v="LA ROCHELLE"/>
    <s v="-1.151075"/>
    <s v="46.161256"/>
    <s v="Centre ville"/>
    <d v="2025-01-01T00:00:00"/>
    <d v="2025-01-01T00:00:00"/>
    <s v="Franchisee"/>
    <s v="CLR HOTELS"/>
    <s v="Jerome LANTE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428"/>
    <s v="IBIS STRASBOURG CTRE HISTORIQUE"/>
    <x v="0"/>
    <s v="01/07/1981"/>
    <n v="244"/>
    <x v="6"/>
    <s v="7 RUE DE MOLSHEIM"/>
    <s v="-"/>
    <s v="-"/>
    <x v="68"/>
    <s v="STRASBOURG"/>
    <s v="7.734772"/>
    <s v="48.578275"/>
    <s v="Centre ville"/>
    <d v="2025-01-01T00:00:00"/>
    <d v="2025-01-01T00:00:00"/>
    <s v="Franchisee"/>
    <s v="SOHOMA"/>
    <s v="Christophe RUQUEBOEUCHE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1429"/>
    <s v="IBIS TOULOUSE CENTRE"/>
    <x v="0"/>
    <s v="01/07/1988"/>
    <n v="178"/>
    <x v="3"/>
    <s v="2 RUE CLAIRE PAUILHAC"/>
    <s v="-"/>
    <s v="-"/>
    <x v="19"/>
    <s v="TOULOUSE"/>
    <s v="1.446011"/>
    <s v="43.610376"/>
    <s v="Centre ville"/>
    <d v="2025-01-01T00:00:00"/>
    <d v="2025-01-01T00:00:00"/>
    <s v="Franchisee"/>
    <s v="GROUPE COVIVIO"/>
    <s v="Jean Francois SANCHEZ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430"/>
    <s v="IBIS TOULOUSE PONTS JUMEAUX"/>
    <x v="0"/>
    <s v="01/02/1990"/>
    <n v="104"/>
    <x v="1"/>
    <s v="99 BOULEVARD DE LA MARQUETTE"/>
    <s v="-"/>
    <s v="-"/>
    <x v="19"/>
    <s v="TOULOUSE"/>
    <s v="1.420053"/>
    <s v="43.610996"/>
    <s v="Centre ville"/>
    <d v="2025-01-01T00:00:00"/>
    <d v="2025-01-01T00:00:00"/>
    <s v="Franchisee"/>
    <s v="IPIH"/>
    <s v="Jean Francois SANCHEZ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1431"/>
    <s v="IBIS TOURS CENTRE GARE"/>
    <x v="0"/>
    <s v="01/01/1983"/>
    <n v="139"/>
    <x v="1"/>
    <s v="1 RUE MAURICE GENEST"/>
    <s v="-"/>
    <s v="-"/>
    <x v="259"/>
    <s v="TOURS"/>
    <s v="0.69834"/>
    <s v="47.387513"/>
    <s v="Centre ville"/>
    <d v="2025-01-01T00:00:00"/>
    <d v="2025-01-01T00:00:00"/>
    <s v="Franchisee"/>
    <s v="GRAPE HOSPITALITY"/>
    <s v="Bruno COQUA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1434"/>
    <s v="IBIS BUDGET VIENNE SUD"/>
    <x v="4"/>
    <s v="03/10/1988"/>
    <n v="58"/>
    <x v="0"/>
    <s v="COURS DE VERDUN"/>
    <s v="PLACE CAMILLE JOUFFRAY"/>
    <s v="-"/>
    <x v="260"/>
    <s v="VIENNE (FRANCE)"/>
    <s v="4.871212"/>
    <s v="45.521061"/>
    <s v="Centre ville"/>
    <d v="2025-01-01T00:00:00"/>
    <d v="2025-01-01T00:00:00"/>
    <s v="Franchisee"/>
    <s v="CASTELLET HOSPITALITY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1508"/>
    <s v="MERCURE BORDEAUX AEROPORT"/>
    <x v="1"/>
    <s v="01/11/1991"/>
    <n v="149"/>
    <x v="1"/>
    <s v="1 AVENUE CHARLES LINDBERGH"/>
    <s v="-"/>
    <s v="-"/>
    <x v="44"/>
    <s v="BORDEAUX"/>
    <s v="-0.691978"/>
    <s v="44.835513"/>
    <s v="Centre ville"/>
    <d v="2025-01-01T00:00:00"/>
    <d v="2025-01-01T00:00:00"/>
    <s v="Franchisee"/>
    <s v="MARC GAULIN"/>
    <s v="Jerome LANTERNIER"/>
    <x v="0"/>
    <n v="1.5"/>
    <n v="0.7"/>
    <s v="January"/>
    <n v="0.6"/>
    <s v="August"/>
    <n v="0.8"/>
    <x v="0"/>
    <x v="0"/>
    <s v="No"/>
    <s v="Yes"/>
    <n v="15"/>
    <s v="-"/>
    <n v="0"/>
    <n v="1"/>
    <n v="0.5"/>
    <n v="0.5"/>
    <n v="0.4"/>
    <n v="0.6"/>
  </r>
  <r>
    <s v="H1514"/>
    <s v="IBIS VICHY"/>
    <x v="0"/>
    <s v="01/03/1992"/>
    <n v="81"/>
    <x v="0"/>
    <s v="1 AVENUE VICTORIA"/>
    <s v="-"/>
    <s v="-"/>
    <x v="81"/>
    <s v="VICHY"/>
    <s v="3.420063"/>
    <s v="46.127768"/>
    <s v="Centre ville"/>
    <d v="2025-01-01T00:00:00"/>
    <d v="2025-01-01T00:00:00"/>
    <s v="Franchisee"/>
    <s v="FRANCE-THERMES"/>
    <s v="Dominique CHEVANCE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535"/>
    <s v="MERCURE LYON CENTRE LUMIERE"/>
    <x v="1"/>
    <s v="01/10/1991"/>
    <n v="78"/>
    <x v="0"/>
    <s v="69 COURS ALBERT THOMAS"/>
    <s v="-"/>
    <s v="-"/>
    <x v="101"/>
    <s v="LYON"/>
    <s v="4.867078"/>
    <s v="45.746983"/>
    <s v="Centre ville"/>
    <d v="2025-01-01T00:00:00"/>
    <d v="2025-01-01T00:00:00"/>
    <s v="Franchisee"/>
    <s v="SOHOMA"/>
    <s v="Katia GARNIER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536"/>
    <s v="NOVOTEL MARNE LA VALLEE NOISY"/>
    <x v="3"/>
    <s v="01/04/1990"/>
    <n v="144"/>
    <x v="1"/>
    <s v="2  ALLÉE BIENVENUE"/>
    <s v="-"/>
    <s v="-"/>
    <x v="261"/>
    <s v="NOISY LE GRAND"/>
    <s v="2.542438"/>
    <s v="48.838469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0"/>
    <x v="0"/>
    <s v="No"/>
    <s v="Yes"/>
    <n v="11"/>
    <n v="1"/>
    <n v="0"/>
    <n v="1"/>
    <n v="0.5"/>
    <n v="0.5"/>
    <n v="0.4"/>
    <n v="0.6"/>
  </r>
  <r>
    <s v="H1537"/>
    <s v="IBIS VESOUL"/>
    <x v="0"/>
    <s v="01/01/1997"/>
    <n v="42"/>
    <x v="4"/>
    <s v="RUE JEAN GEORGES GIRARD"/>
    <s v="ROCADE OUEST"/>
    <s v="-"/>
    <x v="262"/>
    <s v="VESOUL"/>
    <s v="6.139351"/>
    <s v="47.630267"/>
    <s v="Centre ville"/>
    <d v="2025-01-01T00:00:00"/>
    <d v="2025-01-01T00:00:00"/>
    <s v="Franchisee"/>
    <s v="ACCUEIL HOTEL"/>
    <s v="Eric MARAIS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541"/>
    <s v="MERCURE CHAMBERY CENTRE"/>
    <x v="1"/>
    <s v="19/12/1991"/>
    <n v="81"/>
    <x v="0"/>
    <s v="183 PLACE DE LA GARE"/>
    <s v="-"/>
    <s v="-"/>
    <x v="96"/>
    <s v="CHAMBERY"/>
    <s v="5.919596"/>
    <s v="45.570847"/>
    <s v="Centre ville"/>
    <d v="2025-01-01T00:00:00"/>
    <d v="2025-01-01T00:00:00"/>
    <s v="Franchisee"/>
    <s v="VALUESTATE HOTELS BERLIN GMBH"/>
    <s v="Bello DIALLO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1544"/>
    <s v="MERCURE MONTPELLIER ANTIGONE"/>
    <x v="1"/>
    <s v="01/04/1992"/>
    <n v="114"/>
    <x v="1"/>
    <s v="285 BLD DE L'AÉROPORT"/>
    <s v="INTERNATIONAL-ANTIGONE"/>
    <s v="-"/>
    <x v="92"/>
    <s v="MONTPELLIER"/>
    <s v="3.89417"/>
    <s v="43.608853"/>
    <s v="Centre ville"/>
    <d v="2025-01-01T00:00:00"/>
    <d v="2025-01-01T00:00:00"/>
    <s v="Franchisee"/>
    <s v="FAMILLE BANCAREL"/>
    <s v="Jean-Claude FOUCHET"/>
    <x v="1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1545"/>
    <s v="IBIS MARNE LA VALLEE NOISY"/>
    <x v="0"/>
    <s v="01/01/1992"/>
    <n v="161"/>
    <x v="3"/>
    <s v="4 ALLÉE BIENVENUE"/>
    <s v="-"/>
    <s v="-"/>
    <x v="263"/>
    <s v="NOISY LE GRAND"/>
    <s v="2.541951"/>
    <s v="48.837803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0"/>
    <x v="0"/>
    <s v="No"/>
    <s v="Yes"/>
    <n v="8"/>
    <n v="1"/>
    <n v="0"/>
    <n v="1"/>
    <n v="0.5"/>
    <n v="0.5"/>
    <n v="0.4"/>
    <n v="0.6"/>
  </r>
  <r>
    <s v="H1546"/>
    <s v="MERCURE PARIS LA DEFENSE"/>
    <x v="1"/>
    <s v="01/01/1973"/>
    <n v="507"/>
    <x v="2"/>
    <s v="18 - 30 RUE BAUDIN"/>
    <s v="PLACE CHARRAS"/>
    <s v="-"/>
    <x v="146"/>
    <s v="COURBEVOIE"/>
    <s v="2.250352"/>
    <s v="48.895167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2"/>
    <x v="2"/>
    <s v="No"/>
    <s v="Yes"/>
    <n v="7"/>
    <s v="-"/>
    <n v="0"/>
    <s v="-"/>
    <n v="0.5"/>
    <n v="0.5"/>
    <n v="0.4"/>
    <n v="0.6"/>
  </r>
  <r>
    <s v="H1549"/>
    <s v="NOVOTEL PARIS CHARENTON LE PONT"/>
    <x v="3"/>
    <s v="01/04/1992"/>
    <n v="133"/>
    <x v="1"/>
    <s v="3-5 PLACE DES MARSEILLAIS"/>
    <s v="-"/>
    <s v="-"/>
    <x v="264"/>
    <s v="CHARENTON LE PONT"/>
    <s v="2.405574"/>
    <s v="48.826296"/>
    <s v="Centre ville"/>
    <d v="2025-01-01T00:00:00"/>
    <d v="2025-01-01T00:00:00"/>
    <s v="Managed"/>
    <s v="ACCORINVEST FRANCE"/>
    <s v="Vincent GAUTIER"/>
    <x v="1"/>
    <n v="1.5"/>
    <n v="0.7"/>
    <s v="January"/>
    <n v="0.6"/>
    <s v="August"/>
    <n v="0.8"/>
    <x v="0"/>
    <x v="0"/>
    <s v="No"/>
    <s v="Yes"/>
    <n v="10"/>
    <s v="-"/>
    <n v="0"/>
    <s v="-"/>
    <n v="0.5"/>
    <n v="0.5"/>
    <n v="0.4"/>
    <n v="0.6"/>
  </r>
  <r>
    <s v="H1552"/>
    <s v="MERCURE LA ROCHE SUR YON"/>
    <x v="1"/>
    <s v="01/05/1992"/>
    <n v="67"/>
    <x v="0"/>
    <s v="117 BOULEVARD ARISTIDE BRIAND"/>
    <s v="-"/>
    <s v="-"/>
    <x v="211"/>
    <s v="LA ROCHE SUR YON"/>
    <s v="-1.431095"/>
    <s v="46.668574"/>
    <s v="Centre ville"/>
    <d v="2025-01-01T00:00:00"/>
    <d v="2025-01-01T00:00:00"/>
    <s v="Franchisee"/>
    <s v="GROUPE DUBREUIL"/>
    <s v="Jean-Luc RABAULT"/>
    <x v="0"/>
    <n v="1.5"/>
    <n v="0.7"/>
    <s v="January"/>
    <n v="0.6"/>
    <s v="August"/>
    <n v="0.8"/>
    <x v="0"/>
    <x v="2"/>
    <s v="No"/>
    <s v="Yes"/>
    <n v="6"/>
    <s v="-"/>
    <n v="0"/>
    <s v="-"/>
    <n v="0.5"/>
    <n v="0.5"/>
    <n v="0.4"/>
    <n v="0.6"/>
  </r>
  <r>
    <s v="H1554"/>
    <s v="IBIS NANTERRE LA DEFENSE"/>
    <x v="0"/>
    <s v="01/01/1992"/>
    <n v="131"/>
    <x v="1"/>
    <s v="36/38 AVENUE  CHAMPS PIERREUX"/>
    <s v="-"/>
    <s v="-"/>
    <x v="265"/>
    <s v="NANTERRE"/>
    <s v="2.212458"/>
    <s v="48.888395"/>
    <s v="Centre ville"/>
    <d v="2025-01-01T00:00:00"/>
    <d v="2025-01-01T00:00:00"/>
    <s v="Managed"/>
    <s v="ACCORINVEST FRANCE"/>
    <s v="Laurence PEREIRA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559"/>
    <s v="IBIS THALASSA HYERES PLAGE"/>
    <x v="0"/>
    <s v="01/04/1992"/>
    <n v="95"/>
    <x v="0"/>
    <s v="ALLÉE DE LA MER"/>
    <s v="LA CAPTE"/>
    <s v="HYERES LES PALMIERS"/>
    <x v="208"/>
    <s v="HYERES"/>
    <e v="#N/A"/>
    <e v="#N/A"/>
    <s v="Centre ville"/>
    <d v="2025-01-01T00:00:00"/>
    <d v="2025-01-01T00:00:00"/>
    <s v="Managed"/>
    <s v="ACCORINVEST FRANCE"/>
    <s v="Philippe DUCROCQ"/>
    <x v="1"/>
    <n v="1.5"/>
    <n v="0.7"/>
    <s v="January"/>
    <n v="0.6"/>
    <s v="August"/>
    <n v="0.8"/>
    <x v="0"/>
    <x v="0"/>
    <s v="No"/>
    <s v="Yes"/>
    <s v="-"/>
    <n v="1"/>
    <n v="1"/>
    <n v="1"/>
    <n v="0.5"/>
    <n v="0.5"/>
    <n v="0.4"/>
    <n v="0.6"/>
  </r>
  <r>
    <s v="H1560"/>
    <s v="MERCURE ARRAS CENTRE GARE"/>
    <x v="1"/>
    <s v="15/04/1992"/>
    <n v="98"/>
    <x v="0"/>
    <s v="58 BOULEVARD CARNOT"/>
    <s v="-"/>
    <s v="-"/>
    <x v="266"/>
    <s v="ARRAS"/>
    <s v="2.778495"/>
    <s v="50.287025"/>
    <s v="Centre ville"/>
    <d v="2025-01-01T00:00:00"/>
    <d v="2025-01-01T00:00:00"/>
    <s v="Franchisee"/>
    <s v="FAMILLE BROUILLARD"/>
    <s v="Muriel JACQUELINE"/>
    <x v="0"/>
    <n v="1.5"/>
    <n v="0.7"/>
    <s v="January"/>
    <n v="0.6"/>
    <s v="August"/>
    <n v="0.8"/>
    <x v="0"/>
    <x v="0"/>
    <s v="No"/>
    <s v="Yes"/>
    <n v="11"/>
    <s v="-"/>
    <n v="0"/>
    <s v="-"/>
    <n v="0.5"/>
    <n v="0.5"/>
    <n v="0.4"/>
    <n v="0.6"/>
  </r>
  <r>
    <s v="H1561"/>
    <s v="IBIS BORDEAUX SAINT-JEAN"/>
    <x v="0"/>
    <s v="01/04/1992"/>
    <n v="80"/>
    <x v="0"/>
    <s v="19 QUAI DE PALUDATE"/>
    <s v="-"/>
    <s v="-"/>
    <x v="267"/>
    <s v="BORDEAUX"/>
    <s v="-0.555384"/>
    <s v="44.829459"/>
    <s v="Centre ville"/>
    <d v="2025-01-01T00:00:00"/>
    <d v="2025-01-01T00:00:00"/>
    <s v="Franchisee"/>
    <s v="GROUPE COVIVIO"/>
    <s v="Damien RAPHANEL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563"/>
    <s v="IBIS SAINT DIZIER"/>
    <x v="0"/>
    <s v="01/05/1992"/>
    <n v="75"/>
    <x v="0"/>
    <s v="ROUTE DE BAR LE DUC"/>
    <s v="-"/>
    <s v="-"/>
    <x v="268"/>
    <s v="SAINT DIZIER"/>
    <s v="4.956101"/>
    <s v="48.649788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1565"/>
    <s v="IBIS CHALON SUR SAONE EUROPE"/>
    <x v="0"/>
    <s v="01/04/1992"/>
    <n v="86"/>
    <x v="0"/>
    <s v="2 RUE GEORGES FEYDEAU"/>
    <s v="-"/>
    <s v="-"/>
    <x v="17"/>
    <s v="CHALON SUR SAONE"/>
    <s v="4.837221"/>
    <s v="46.794777"/>
    <s v="Centre ville"/>
    <d v="2025-01-01T00:00:00"/>
    <d v="2025-01-01T00:00:00"/>
    <s v="Franchisee"/>
    <s v="FAMILLE JACQUIER"/>
    <s v="Katia GARNIER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1571"/>
    <s v="NOVOTEL NANTES CENTRE GARE"/>
    <x v="3"/>
    <s v="02/09/1992"/>
    <n v="105"/>
    <x v="1"/>
    <s v="3 RUE DE VALMY"/>
    <s v="-"/>
    <s v="-"/>
    <x v="172"/>
    <s v="NANTES"/>
    <s v="-1.542919"/>
    <s v="47.213896"/>
    <s v="Centre ville"/>
    <d v="2025-01-01T00:00:00"/>
    <d v="2025-01-01T00:00:00"/>
    <s v="Franchisee"/>
    <s v="ARNAUD MOULET"/>
    <s v="Jean-Luc RABAULT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572"/>
    <s v="MERCURE TOURS NORD"/>
    <x v="1"/>
    <s v="01/07/1992"/>
    <n v="93"/>
    <x v="0"/>
    <s v="11  RUE DE L'AVIATION"/>
    <s v="-"/>
    <s v="-"/>
    <x v="119"/>
    <s v="TOURS"/>
    <s v="0.708801"/>
    <s v="47.438095"/>
    <s v="Centre ville"/>
    <d v="2025-01-01T00:00:00"/>
    <d v="2025-01-01T00:00:00"/>
    <s v="Franchisee"/>
    <s v="BOISSEE FINANCES"/>
    <s v="Bruno COQUAZ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1584"/>
    <s v="IBIS NANCY BRABOIS"/>
    <x v="0"/>
    <s v="30/09/1992"/>
    <n v="68"/>
    <x v="0"/>
    <s v="2 ALLÉE DE BOURGOGNE"/>
    <s v="-"/>
    <s v="-"/>
    <x v="269"/>
    <s v="VANDOEUVRE LES NANCY"/>
    <s v="6.145427"/>
    <s v="48.650603"/>
    <s v="Centre ville"/>
    <d v="2025-01-01T00:00:00"/>
    <d v="2025-01-01T00:00:00"/>
    <s v="Franchisee"/>
    <s v="FAMILLE GIRARD"/>
    <s v="Christophe RUQUEBOEUCHE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585"/>
    <s v="MERCURE TOULOUSE COMPANS CAF"/>
    <x v="1"/>
    <s v="02/11/1992"/>
    <n v="136"/>
    <x v="1"/>
    <s v="BOULEVARD LASCROSSES"/>
    <s v="8 ESPLANADE COMPANS CAFFARELLI"/>
    <s v="-"/>
    <x v="19"/>
    <s v="TOULOUSE"/>
    <e v="#N/A"/>
    <e v="#N/A"/>
    <s v="Centre ville"/>
    <d v="2025-01-01T00:00:00"/>
    <d v="2025-01-01T00:00:00"/>
    <s v="Managed"/>
    <s v="ACCORINVEST FRANCE"/>
    <s v="Philippe DUCROCQ"/>
    <x v="1"/>
    <n v="1.5"/>
    <n v="0.7"/>
    <s v="January"/>
    <n v="0.6"/>
    <s v="August"/>
    <n v="0.8"/>
    <x v="0"/>
    <x v="0"/>
    <s v="No"/>
    <s v="Yes"/>
    <n v="14"/>
    <s v="-"/>
    <n v="0"/>
    <s v="-"/>
    <n v="0.5"/>
    <n v="0.5"/>
    <n v="0.4"/>
    <n v="0.6"/>
  </r>
  <r>
    <s v="H1586"/>
    <s v="IBIS TOULON LA VALETTE"/>
    <x v="0"/>
    <s v="01/08/1992"/>
    <n v="92"/>
    <x v="0"/>
    <s v="AVENUE GEORGES CHARPAK"/>
    <s v="PARC TERTAIRE VALGORA"/>
    <s v="-"/>
    <x v="270"/>
    <s v="LA VALETTE DU VAR"/>
    <s v="6.008921"/>
    <s v="43.141884"/>
    <s v="Centre ville"/>
    <d v="2025-01-01T00:00:00"/>
    <d v="2025-01-01T00:00:00"/>
    <s v="Franchisee"/>
    <s v="PASCAL DONAT"/>
    <s v="Marion BOROT"/>
    <x v="0"/>
    <n v="1.5"/>
    <n v="0.7"/>
    <s v="January"/>
    <n v="0.6"/>
    <s v="August"/>
    <n v="0.8"/>
    <x v="0"/>
    <x v="1"/>
    <s v="No"/>
    <s v="Yes"/>
    <n v="4"/>
    <s v="-"/>
    <n v="0"/>
    <n v="1"/>
    <n v="0.5"/>
    <n v="0.5"/>
    <n v="0.4"/>
    <n v="0.6"/>
  </r>
  <r>
    <s v="H1588"/>
    <s v="IBIS STRASBOURG AEROPORT"/>
    <x v="0"/>
    <s v="01/07/1992"/>
    <n v="81"/>
    <x v="0"/>
    <s v="2 RUE DU MARÉCHAL FOCH"/>
    <s v="ROUTE DE SCHIRMECK"/>
    <s v="-"/>
    <x v="271"/>
    <s v="LINGOLSHEIM"/>
    <s v="7.693133"/>
    <s v="48.560705"/>
    <s v="Centre ville"/>
    <d v="2025-01-01T00:00:00"/>
    <d v="2025-01-01T00:00:00"/>
    <s v="Franchisee"/>
    <s v="SOMNOO"/>
    <s v="Christophe RUQUEBOEUCHE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1596"/>
    <s v="NOVOTEL POITIERS FUTUROSCOPE"/>
    <x v="3"/>
    <s v="01/06/1993"/>
    <n v="127"/>
    <x v="1"/>
    <s v="AVENUE RENÉ MONORY"/>
    <s v="BP 30135 TELEPORT IV"/>
    <s v="FUTUROSCOPE- CHASSENEUIL"/>
    <x v="228"/>
    <s v="CHASSENEUIL"/>
    <s v="0.361278"/>
    <s v="46.669136"/>
    <s v="Centre ville"/>
    <d v="2025-01-01T00:00:00"/>
    <d v="2025-01-01T00:00:00"/>
    <s v="Franchisee"/>
    <s v="FAMILLE FILLON"/>
    <s v="Dominique CHEVANCE"/>
    <x v="0"/>
    <n v="1.5"/>
    <n v="0.7"/>
    <s v="January"/>
    <n v="0.6"/>
    <s v="August"/>
    <n v="0.8"/>
    <x v="0"/>
    <x v="0"/>
    <s v="No"/>
    <s v="Yes"/>
    <n v="10"/>
    <n v="1"/>
    <n v="0"/>
    <n v="1"/>
    <n v="0.5"/>
    <n v="0.5"/>
    <n v="0.4"/>
    <n v="0.6"/>
  </r>
  <r>
    <s v="H1598"/>
    <s v="MERCURE PARIS TOUR EIFFEL"/>
    <x v="1"/>
    <s v="01/03/1993"/>
    <n v="77"/>
    <x v="0"/>
    <s v="64 BOULEVARD DE GRENELLE"/>
    <s v="-"/>
    <s v="-"/>
    <x v="173"/>
    <s v="PARIS"/>
    <s v="2.29245"/>
    <s v="48.850519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0"/>
    <x v="1"/>
    <s v="No"/>
    <s v="Yes"/>
    <n v="2"/>
    <n v="1"/>
    <n v="0"/>
    <s v="-"/>
    <n v="0.5"/>
    <n v="0.5"/>
    <n v="0.4"/>
    <n v="0.6"/>
  </r>
  <r>
    <s v="H1609"/>
    <s v="NOVOTEL PARIS RUEIL MALMAISON"/>
    <x v="3"/>
    <s v="12/06/1992"/>
    <n v="118"/>
    <x v="1"/>
    <s v="21 AVENUE EDOUARD BELIN"/>
    <s v="-"/>
    <s v="-"/>
    <x v="255"/>
    <s v="RUEIL MALMAISON"/>
    <s v="2.168289"/>
    <s v="48.888335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2"/>
    <x v="0"/>
    <s v="No"/>
    <s v="Yes"/>
    <n v="18"/>
    <n v="1"/>
    <n v="0"/>
    <s v="-"/>
    <n v="0.5"/>
    <n v="0.5"/>
    <n v="0.4"/>
    <n v="0.6"/>
  </r>
  <r>
    <s v="H1614"/>
    <s v="MERCURE PARIS OPERA LOUVRE"/>
    <x v="1"/>
    <s v="01/01/1800"/>
    <n v="107"/>
    <x v="1"/>
    <s v="95 RUE DE RICHELIEU"/>
    <s v="-"/>
    <s v="-"/>
    <x v="272"/>
    <s v="PARIS"/>
    <s v="2.339519"/>
    <s v="48.871137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1621"/>
    <s v="MERCURE BLOIS CENTRE"/>
    <x v="1"/>
    <s v="01/05/1993"/>
    <n v="96"/>
    <x v="0"/>
    <s v="28 QUAI SAINT JEAN"/>
    <s v="-"/>
    <s v="-"/>
    <x v="176"/>
    <s v="BLOIS"/>
    <s v="1.339782"/>
    <s v="47.588649"/>
    <s v="Centre ville"/>
    <d v="2025-01-01T00:00:00"/>
    <d v="2025-01-01T00:00:00"/>
    <s v="Franchisee"/>
    <s v="BOISSEE FINANCES"/>
    <s v="Bruno COQUAZ"/>
    <x v="0"/>
    <n v="1.5"/>
    <n v="0.7"/>
    <s v="January"/>
    <n v="0.6"/>
    <s v="August"/>
    <n v="0.8"/>
    <x v="0"/>
    <x v="0"/>
    <s v="No"/>
    <s v="Yes"/>
    <n v="10"/>
    <n v="1"/>
    <n v="0"/>
    <n v="1"/>
    <n v="0.5"/>
    <n v="0.5"/>
    <n v="0.4"/>
    <n v="0.6"/>
  </r>
  <r>
    <s v="H1622"/>
    <s v="MERCURE CARCASSONNE LA CITE"/>
    <x v="1"/>
    <s v="01/01/1985"/>
    <n v="80"/>
    <x v="0"/>
    <s v="18 RUE CAMILLE SAINT-SAENS"/>
    <s v="-"/>
    <s v="-"/>
    <x v="95"/>
    <s v="CARCASSONNE"/>
    <s v="2.369605"/>
    <s v="43.207243"/>
    <s v="Centre ville"/>
    <d v="2025-01-01T00:00:00"/>
    <d v="2025-01-01T00:00:00"/>
    <s v="Franchisee"/>
    <s v="FAMILLE PUJOL"/>
    <s v="Jean Francois SANCHEZ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1623"/>
    <s v="MERCURE COMPIEGNE SUD"/>
    <x v="1"/>
    <s v="30/10/1993"/>
    <n v="92"/>
    <x v="0"/>
    <s v="126 RUE ROBERT SCHUMAN"/>
    <s v="-"/>
    <s v="-"/>
    <x v="273"/>
    <s v="COMPIEGNE"/>
    <s v="2.785925"/>
    <s v="49.380119"/>
    <s v="Centre ville"/>
    <d v="2025-01-01T00:00:00"/>
    <d v="2025-01-01T00:00:00"/>
    <s v="Franchisee"/>
    <s v="ATYPIO"/>
    <s v="Pierre LAGRANGE"/>
    <x v="0"/>
    <n v="1.5"/>
    <n v="0.7"/>
    <s v="January"/>
    <n v="0.6"/>
    <s v="August"/>
    <n v="0.8"/>
    <x v="0"/>
    <x v="0"/>
    <s v="No"/>
    <s v="Yes"/>
    <n v="2"/>
    <n v="1"/>
    <n v="0"/>
    <s v="-"/>
    <n v="0.5"/>
    <n v="0.5"/>
    <n v="0.4"/>
    <n v="0.6"/>
  </r>
  <r>
    <s v="H1624"/>
    <s v="NOVOTEL GRENOBLE CENTRE"/>
    <x v="3"/>
    <s v="01/04/1993"/>
    <n v="118"/>
    <x v="1"/>
    <s v="7 PLACE ROBERT SCHUMAN"/>
    <s v="-"/>
    <s v="-"/>
    <x v="99"/>
    <s v="GRENOBLE"/>
    <s v="5.712392"/>
    <s v="45.191043"/>
    <s v="Centre ville"/>
    <d v="2025-01-01T00:00:00"/>
    <d v="2025-01-01T00:00:00"/>
    <s v="Franchisee"/>
    <s v="GROUPE COVIVIO"/>
    <s v="Bello DIALLO"/>
    <x v="1"/>
    <n v="1.5"/>
    <n v="0.7"/>
    <s v="January"/>
    <n v="0.6"/>
    <s v="August"/>
    <n v="0.8"/>
    <x v="0"/>
    <x v="0"/>
    <s v="No"/>
    <s v="Yes"/>
    <n v="4"/>
    <n v="1"/>
    <n v="0"/>
    <s v="-"/>
    <n v="0.5"/>
    <n v="0.5"/>
    <n v="0.4"/>
    <n v="0.6"/>
  </r>
  <r>
    <s v="D"/>
    <s v="MERCURE LYON CENTRE CHARPENNES"/>
    <x v="1"/>
    <s v="07/06/1993"/>
    <n v="98"/>
    <x v="0"/>
    <s v="7 PLACE CHARLES HERNU"/>
    <s v="-"/>
    <s v="-"/>
    <x v="274"/>
    <s v="LYON"/>
    <s v="4.862944"/>
    <s v="45.770622"/>
    <s v="Centre ville"/>
    <d v="2025-01-01T00:00:00"/>
    <d v="2025-01-01T00:00:00"/>
    <s v="Franchisee"/>
    <s v="HORTENSE LUZY"/>
    <s v="Katia GARNIER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1627"/>
    <s v="MERCURE CHATEAU FONTAINEBLEAU"/>
    <x v="1"/>
    <s v="01/01/1992"/>
    <n v="99"/>
    <x v="0"/>
    <s v="41 RUE ROYALE"/>
    <s v="-"/>
    <s v="-"/>
    <x v="202"/>
    <s v="FONTAINEBLEAU"/>
    <s v="2.688362"/>
    <s v="48.404969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1628"/>
    <s v="NOVOTEL PARIS ORLY RUNGIS"/>
    <x v="3"/>
    <s v="23/03/1993"/>
    <n v="180"/>
    <x v="3"/>
    <s v="1 RUE DU PONT DES HALLES"/>
    <s v="ZONE DU DELTA"/>
    <s v="-"/>
    <x v="244"/>
    <s v="RUNGIS"/>
    <s v="2.350182"/>
    <s v="48.755012"/>
    <s v="Centre ville"/>
    <d v="2025-01-01T00:00:00"/>
    <d v="2025-01-01T00:00:00"/>
    <s v="Franchisee"/>
    <s v="ETIENNE GAD ET VINCENT LE DUFF"/>
    <s v="Benoit DUCHE"/>
    <x v="0"/>
    <n v="1.5"/>
    <n v="0.7"/>
    <s v="January"/>
    <n v="0.6"/>
    <s v="August"/>
    <n v="0.8"/>
    <x v="0"/>
    <x v="0"/>
    <s v="No"/>
    <s v="Yes"/>
    <n v="11"/>
    <n v="1"/>
    <n v="0"/>
    <n v="1"/>
    <n v="0.5"/>
    <n v="0.5"/>
    <n v="0.4"/>
    <n v="0.6"/>
  </r>
  <r>
    <s v="H1637"/>
    <s v="IBIS AUBENAS"/>
    <x v="0"/>
    <s v="01/04/1993"/>
    <n v="63"/>
    <x v="0"/>
    <s v="42 ROUTE DE MONTELIMAR"/>
    <s v="-"/>
    <s v="-"/>
    <x v="275"/>
    <s v="AUBENAS"/>
    <s v="4.403973"/>
    <s v="44.615217"/>
    <s v="Centre ville"/>
    <d v="2025-01-01T00:00:00"/>
    <d v="2025-01-01T00:00:00"/>
    <s v="Franchisee"/>
    <s v="FAMILLE NOGIER"/>
    <s v="Jean-Claude FOUCHET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1639"/>
    <s v="IBIS BAYONNE CENTRE"/>
    <x v="0"/>
    <s v="01/06/1992"/>
    <n v="87"/>
    <x v="0"/>
    <s v="46 BOULEVARD ALSACE LORRAINE"/>
    <s v="-"/>
    <s v="-"/>
    <x v="276"/>
    <s v="BAYONNE"/>
    <s v="-1.465656"/>
    <s v="43.492931"/>
    <s v="Centre ville"/>
    <d v="2025-01-01T00:00:00"/>
    <d v="2025-01-01T00:00:00"/>
    <s v="Franchisee"/>
    <s v="YVES RICHARD"/>
    <s v="Jerome LANTERNIER"/>
    <x v="0"/>
    <n v="1.5"/>
    <n v="0.7"/>
    <s v="January"/>
    <n v="0.6"/>
    <s v="August"/>
    <n v="0.8"/>
    <x v="0"/>
    <x v="0"/>
    <s v="No"/>
    <s v="Yes"/>
    <n v="2"/>
    <n v="1"/>
    <n v="0"/>
    <s v="-"/>
    <n v="0.5"/>
    <n v="0.5"/>
    <n v="0.4"/>
    <n v="0.6"/>
  </r>
  <r>
    <s v="H1640"/>
    <s v="IBIS MULHOUSE CENTRE FILATURE"/>
    <x v="0"/>
    <s v="01/09/1993"/>
    <n v="70"/>
    <x v="0"/>
    <s v="34 ALLEE NATHAN KATZ"/>
    <s v="NOUVEAU BASSIN"/>
    <s v="-"/>
    <x v="240"/>
    <s v="MULHOUSE"/>
    <s v="7.349561"/>
    <s v="47.75483"/>
    <s v="Centre ville"/>
    <d v="2025-01-01T00:00:00"/>
    <d v="2025-01-01T00:00:00"/>
    <s v="Franchisee"/>
    <s v="CLR HOTELS"/>
    <s v="Eric MARAIS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1641"/>
    <s v="IBIS SAINT QUENTIN"/>
    <x v="0"/>
    <s v="01/01/1997"/>
    <n v="76"/>
    <x v="0"/>
    <s v="14 PLACE DE LA BASILIQUE"/>
    <s v="-"/>
    <s v="-"/>
    <x v="277"/>
    <s v="SAINT QUENTIN"/>
    <s v="3.28925"/>
    <s v="49.847223"/>
    <s v="Centre ville"/>
    <d v="2025-01-01T00:00:00"/>
    <d v="2025-01-01T00:00:00"/>
    <s v="Franchisee"/>
    <s v="ALBORAN"/>
    <s v="Muriel JACQUELI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643"/>
    <s v="IBIS PAU LESCAR"/>
    <x v="0"/>
    <s v="01/05/1993"/>
    <n v="60"/>
    <x v="0"/>
    <s v="AVENUE SANTOS DUMONT"/>
    <s v="-"/>
    <s v="-"/>
    <x v="55"/>
    <s v="LESCAR"/>
    <s v="-0.42409"/>
    <s v="43.31857"/>
    <s v="Centre ville"/>
    <d v="2025-01-01T00:00:00"/>
    <d v="2025-01-01T00:00:00"/>
    <s v="Franchisee"/>
    <s v="HOTELINA"/>
    <s v="Jerome LANTERNIER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1675"/>
    <s v="IBIS SUD CARREFOUR HERBET"/>
    <x v="0"/>
    <s v="26/09/1989"/>
    <n v="70"/>
    <x v="0"/>
    <s v="1 BOULEVARD JEAN MOULIN"/>
    <s v="-"/>
    <s v="-"/>
    <x v="278"/>
    <s v="CLERMONT FERRAND"/>
    <s v="3.117617"/>
    <s v="45.779317"/>
    <s v="Centre ville"/>
    <d v="2025-01-01T00:00:00"/>
    <d v="2025-01-01T00:00:00"/>
    <s v="Franchisee"/>
    <s v="TIJO"/>
    <s v="Jean-Claude FOUCHET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1678"/>
    <s v="IBIS FALAISE"/>
    <x v="0"/>
    <s v="01/03/1994"/>
    <n v="53"/>
    <x v="0"/>
    <s v="RUE DES FRÈRES MICHAUT"/>
    <s v="-"/>
    <s v="-"/>
    <x v="279"/>
    <s v="FALAISE"/>
    <s v="-0.208003"/>
    <s v="48.905865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0"/>
    <s v="No"/>
    <s v="Yes"/>
    <n v="2"/>
    <n v="1"/>
    <n v="0"/>
    <s v="-"/>
    <n v="0.5"/>
    <n v="0.5"/>
    <n v="0.4"/>
    <n v="0.6"/>
  </r>
  <r>
    <s v="H1687"/>
    <s v="IBIS JOUY EN JOSAS VELIZY"/>
    <x v="0"/>
    <s v="01/12/1988"/>
    <n v="62"/>
    <x v="0"/>
    <s v="DOMAINE DE LA COUR ROLAND"/>
    <s v="-"/>
    <s v="-"/>
    <x v="280"/>
    <s v="JOUY EN JOSAS"/>
    <s v="2.177503"/>
    <s v="48.777793"/>
    <s v="Centre ville"/>
    <d v="2025-01-01T00:00:00"/>
    <d v="2025-01-01T00:00:00"/>
    <s v="Franchisee"/>
    <s v="BRUNO MARION"/>
    <s v="Benoit D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689"/>
    <s v="IBIS PARIS MASSY"/>
    <x v="0"/>
    <s v="01/03/1994"/>
    <n v="68"/>
    <x v="0"/>
    <s v="6  RUE DU SAULE TRAPU"/>
    <s v="-"/>
    <s v="-"/>
    <x v="281"/>
    <s v="MASSY"/>
    <s v="2.301743"/>
    <s v="48.72918"/>
    <s v="Centre ville"/>
    <d v="2025-01-01T00:00:00"/>
    <d v="2025-01-01T00:00:00"/>
    <s v="Franchisee"/>
    <s v="BENJAMIN LARROUTIS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725"/>
    <s v="IBIS STYLES LISIEUX NORMANDIE"/>
    <x v="2"/>
    <s v="01/06/1986"/>
    <n v="71"/>
    <x v="0"/>
    <s v="ROUTE DE PARIS"/>
    <s v="177 RUE ROGER AINI"/>
    <s v="-"/>
    <x v="282"/>
    <s v="LISIEUX"/>
    <s v="0.260582"/>
    <s v="49.145096"/>
    <s v="Centre ville"/>
    <d v="2025-01-01T00:00:00"/>
    <d v="2025-01-01T00:00:00"/>
    <s v="Franchisee"/>
    <s v="GERARD BUTEL"/>
    <s v="Ronan LE MEUR"/>
    <x v="0"/>
    <n v="1.5"/>
    <n v="0.7"/>
    <s v="January"/>
    <n v="0.6"/>
    <s v="August"/>
    <n v="0.8"/>
    <x v="0"/>
    <x v="0"/>
    <s v="No"/>
    <s v="Yes"/>
    <n v="3"/>
    <n v="1"/>
    <n v="0"/>
    <n v="1"/>
    <n v="0.5"/>
    <n v="0.5"/>
    <n v="0.4"/>
    <n v="0.6"/>
  </r>
  <r>
    <s v="H1732"/>
    <s v="IBIS MARNE VALLEE EMERAINVILLE"/>
    <x v="0"/>
    <s v="01/09/1994"/>
    <n v="84"/>
    <x v="0"/>
    <s v="46 BOULEVARD DE BEAUBOURG"/>
    <s v="-"/>
    <s v="-"/>
    <x v="283"/>
    <s v="EMERAINVILLE"/>
    <s v="2.620098"/>
    <s v="48.815526"/>
    <s v="Centre ville"/>
    <d v="2025-01-01T00:00:00"/>
    <d v="2025-01-01T00:00:00"/>
    <s v="Franchisee"/>
    <s v="FRANCK BUCCIO"/>
    <s v="Thomas COSTES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1735"/>
    <s v="NOVOTEL PARIS GARE DE LYON"/>
    <x v="3"/>
    <s v="01/05/1995"/>
    <n v="252"/>
    <x v="5"/>
    <s v="2 RUE HECTOR MALOT"/>
    <s v="-"/>
    <s v="-"/>
    <x v="183"/>
    <s v="PARIS"/>
    <s v="2.375301"/>
    <s v="48.84538"/>
    <s v="Centre ville"/>
    <d v="2025-01-01T00:00:00"/>
    <d v="2025-01-01T00:00:00"/>
    <s v="Managed"/>
    <s v="ACCORINVEST FRANCE"/>
    <s v="Philippe JAUSSELY"/>
    <x v="0"/>
    <n v="1.5"/>
    <n v="0.7"/>
    <s v="January"/>
    <n v="0.6"/>
    <s v="August"/>
    <n v="0.8"/>
    <x v="2"/>
    <x v="0"/>
    <s v="No"/>
    <s v="Yes"/>
    <n v="6"/>
    <n v="1"/>
    <n v="0"/>
    <n v="1"/>
    <n v="0.5"/>
    <n v="0.5"/>
    <n v="0.4"/>
    <n v="0.6"/>
  </r>
  <r>
    <s v="H1740"/>
    <s v="IBIS AVALLON"/>
    <x v="0"/>
    <s v="01/10/1991"/>
    <n v="44"/>
    <x v="4"/>
    <s v="33 RUE DE LA BERGERIE"/>
    <s v="ACCÈS A6"/>
    <s v="-"/>
    <x v="284"/>
    <s v="MAGNY"/>
    <s v="3.983231"/>
    <s v="47.501634"/>
    <s v="Centre ville"/>
    <d v="2025-01-01T00:00:00"/>
    <d v="2025-01-01T00:00:00"/>
    <s v="Franchisee"/>
    <s v="FAMILLE BOISSELIER"/>
    <s v="Eric MARAI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742"/>
    <s v="ATRIA NOVOTEL BELFORT CENTRE"/>
    <x v="3"/>
    <s v="01/07/1994"/>
    <n v="79"/>
    <x v="0"/>
    <s v="AVENUE DE L'ESPÉRANCE"/>
    <s v="-"/>
    <s v="-"/>
    <x v="285"/>
    <s v="BELFORT"/>
    <e v="#N/A"/>
    <e v="#N/A"/>
    <s v="Centre ville"/>
    <d v="2025-01-01T00:00:00"/>
    <d v="2025-01-01T00:00:00"/>
    <s v="Franchisee"/>
    <s v="ATYPIO"/>
    <s v="Eric MARAIS"/>
    <x v="1"/>
    <n v="1.5"/>
    <n v="0.7"/>
    <s v="January"/>
    <n v="0.6"/>
    <s v="August"/>
    <n v="0.8"/>
    <x v="0"/>
    <x v="0"/>
    <s v="No"/>
    <s v="Yes"/>
    <n v="14"/>
    <n v="1"/>
    <n v="0"/>
    <s v="-"/>
    <n v="0.5"/>
    <n v="0.5"/>
    <n v="0.4"/>
    <n v="0.6"/>
  </r>
  <r>
    <s v="H1743"/>
    <s v="IBIS PARIS BERCY VILLAGE"/>
    <x v="0"/>
    <s v="01/01/1995"/>
    <n v="195"/>
    <x v="3"/>
    <s v="19 PLACE DES VINS DE FRANCE"/>
    <s v="-"/>
    <s v="-"/>
    <x v="183"/>
    <s v="PARIS"/>
    <s v="2.38663"/>
    <s v="48.832316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1755"/>
    <s v="IBIS SAINT BRIEUC YFFINIAC"/>
    <x v="0"/>
    <s v="01/01/1986"/>
    <n v="42"/>
    <x v="4"/>
    <s v="36 RUE JULIEN QUINTIN"/>
    <s v="-"/>
    <s v="-"/>
    <x v="286"/>
    <s v="YFFINIAC"/>
    <s v="-2.663755"/>
    <s v="48.479721"/>
    <s v="Centre ville"/>
    <d v="2025-01-01T00:00:00"/>
    <d v="2025-01-01T00:00:00"/>
    <s v="Franchisee"/>
    <s v="FAMILLE FOURNIER"/>
    <s v="Jean-Francois STEBLER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1759"/>
    <s v="IBIS DOLE SUD CHOISEY"/>
    <x v="0"/>
    <s v="01/01/1995"/>
    <n v="47"/>
    <x v="4"/>
    <s v="PEAGE A39 SORTIE 6"/>
    <s v="16 RUE FOURNEY"/>
    <s v="ESPACE COMMERCIALE DE CHOISEY"/>
    <x v="287"/>
    <s v="DOLE"/>
    <s v="5.454358"/>
    <s v="47.067922"/>
    <s v="Centre ville"/>
    <d v="2025-01-01T00:00:00"/>
    <d v="2025-01-01T00:00:00"/>
    <s v="Franchisee"/>
    <s v="PATRICE LOFFROY"/>
    <s v="Eric MARAIS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761"/>
    <s v="IBIS BOURG JASSERON TEYSSONGE"/>
    <x v="0"/>
    <s v="01/02/1995"/>
    <n v="32"/>
    <x v="4"/>
    <s v="A40 AIRE DE BOURG JASSERON"/>
    <s v="610 ALLÉE BRESSE REVERMONT D936"/>
    <s v="-"/>
    <x v="288"/>
    <s v="JASSERON"/>
    <s v="5.296048"/>
    <s v="46.204258"/>
    <s v="Centre ville"/>
    <d v="2025-01-01T00:00:00"/>
    <d v="2025-01-01T00:00:00"/>
    <s v="Franchisee"/>
    <s v="AREAS"/>
    <s v="Katia GARNIER"/>
    <x v="0"/>
    <n v="1.5"/>
    <n v="0.7"/>
    <s v="January"/>
    <n v="0.6"/>
    <s v="August"/>
    <n v="0.8"/>
    <x v="1"/>
    <x v="2"/>
    <s v="No"/>
    <s v="Yes"/>
    <s v="-"/>
    <s v="-"/>
    <n v="0"/>
    <s v="-"/>
    <n v="0.5"/>
    <n v="0.5"/>
    <n v="0.4"/>
    <n v="0.6"/>
  </r>
  <r>
    <s v="H1769"/>
    <s v="IBIS MONTAUBAN"/>
    <x v="0"/>
    <s v="01/05/1995"/>
    <n v="62"/>
    <x v="0"/>
    <s v="50 ROUTE ST MARTIAL SORTIE 62"/>
    <s v="ROCADE TOULOUSE LIMOGES"/>
    <s v="SORTIE 62-LES CHAUMES"/>
    <x v="289"/>
    <s v="MONTAUBAN"/>
    <s v="1.383623"/>
    <s v="44.005441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s v="-"/>
    <n v="1"/>
    <n v="0"/>
    <n v="1"/>
    <n v="0.5"/>
    <n v="0.5"/>
    <n v="0.4"/>
    <n v="0.6"/>
  </r>
  <r>
    <s v="H1783"/>
    <s v="NOVOTEL SENART GOLF GREENPARC"/>
    <x v="3"/>
    <s v="01/06/1995"/>
    <n v="81"/>
    <x v="0"/>
    <s v="GOLF DE GREENPARC"/>
    <s v="D 402 - ROUTE DE VILLEPECLE"/>
    <s v="-"/>
    <x v="290"/>
    <s v="SAINT PIERRE DU PERRAY"/>
    <s v="2.521079"/>
    <s v="48.623695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0"/>
    <x v="0"/>
    <s v="No"/>
    <s v="Yes"/>
    <n v="3"/>
    <n v="2"/>
    <n v="1"/>
    <n v="1"/>
    <n v="0.5"/>
    <n v="0.5"/>
    <n v="0.4"/>
    <n v="0.6"/>
  </r>
  <r>
    <s v="H1788"/>
    <s v="MERCURE TOURS SUD"/>
    <x v="1"/>
    <s v="12/06/1990"/>
    <n v="76"/>
    <x v="0"/>
    <s v="ALLÉE ANDRE MALRAUX"/>
    <s v="PARC DES BRETONNIERES"/>
    <s v="-"/>
    <x v="291"/>
    <s v="JOUE LES TOURS"/>
    <s v="0.644537"/>
    <s v="47.353092"/>
    <s v="Centre ville"/>
    <d v="2025-01-01T00:00:00"/>
    <d v="2025-01-01T00:00:00"/>
    <s v="Franchisee"/>
    <s v="ATYPIO"/>
    <s v="Bruno COQUAZ"/>
    <x v="0"/>
    <n v="1.5"/>
    <n v="0.7"/>
    <s v="January"/>
    <n v="0.6"/>
    <s v="August"/>
    <n v="0.8"/>
    <x v="0"/>
    <x v="0"/>
    <s v="No"/>
    <s v="Yes"/>
    <n v="10"/>
    <n v="1"/>
    <n v="0"/>
    <n v="1"/>
    <n v="0.5"/>
    <n v="0.5"/>
    <n v="0.4"/>
    <n v="0.6"/>
  </r>
  <r>
    <s v="H1803"/>
    <s v="IBIS PARIS PLACE D ITALIE 13E"/>
    <x v="0"/>
    <s v="01/07/1995"/>
    <n v="72"/>
    <x v="0"/>
    <s v="25 AVENUE STEPHEN PICHON"/>
    <s v="-"/>
    <s v="-"/>
    <x v="177"/>
    <s v="PARIS"/>
    <s v="2.358928"/>
    <s v="48.832524"/>
    <s v="Centre ville"/>
    <d v="2025-01-01T00:00:00"/>
    <d v="2025-01-01T00:00:00"/>
    <s v="Franchisee"/>
    <s v="FAMILLE KERJOUAN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810"/>
    <s v="MERCURE BORDEAUX CHARTRONS"/>
    <x v="1"/>
    <s v="01/09/1991"/>
    <n v="215"/>
    <x v="6"/>
    <s v="81 COURS SAINT-LOUIS"/>
    <s v="-"/>
    <s v="-"/>
    <x v="12"/>
    <s v="BORDEAUX"/>
    <s v="-0.569155"/>
    <s v="44.859339"/>
    <s v="Centre ville"/>
    <d v="2025-01-01T00:00:00"/>
    <d v="2025-01-01T00:00:00"/>
    <s v="Franchisee"/>
    <s v="CYC3"/>
    <s v="Jerome LANTERNIER"/>
    <x v="0"/>
    <n v="1.5"/>
    <n v="0.7"/>
    <s v="January"/>
    <n v="0.6"/>
    <s v="August"/>
    <n v="0.8"/>
    <x v="0"/>
    <x v="0"/>
    <s v="No"/>
    <s v="Yes"/>
    <n v="15"/>
    <n v="1"/>
    <n v="0"/>
    <s v="-"/>
    <n v="0.5"/>
    <n v="0.5"/>
    <n v="0.4"/>
    <n v="0.6"/>
  </r>
  <r>
    <s v="H1813"/>
    <s v="MERCURE STRASBOURG PTE FRANCE"/>
    <x v="1"/>
    <s v="01/04/1905"/>
    <n v="61"/>
    <x v="0"/>
    <s v="3 RUE DU MAIRE KUSS"/>
    <s v="-"/>
    <s v="-"/>
    <x v="68"/>
    <s v="STRASBOURG"/>
    <s v="7.738053"/>
    <s v="48.583572"/>
    <s v="Centre ville"/>
    <d v="2025-01-01T00:00:00"/>
    <d v="2025-01-01T00:00:00"/>
    <s v="Franchisee"/>
    <s v="ALEXANDRE ROTH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1814"/>
    <s v="MERCURE SAINT NECTAIRE"/>
    <x v="1"/>
    <s v="01/01/1895"/>
    <n v="68"/>
    <x v="0"/>
    <s v="26 AVENUE DU DOCTEUR ROUX"/>
    <s v="-"/>
    <s v="-"/>
    <x v="292"/>
    <s v="SAINT NECTAIRE"/>
    <s v="2.996494"/>
    <s v="45.579166"/>
    <s v="Centre ville"/>
    <d v="2025-01-01T00:00:00"/>
    <d v="2025-01-01T00:00:00"/>
    <s v="Franchisee"/>
    <s v="SOMNOO"/>
    <s v="Jean-Claude FOUCHET"/>
    <x v="1"/>
    <n v="1.5"/>
    <n v="0.7"/>
    <s v="January"/>
    <n v="0.6"/>
    <s v="August"/>
    <n v="0.8"/>
    <x v="0"/>
    <x v="0"/>
    <s v="No"/>
    <s v="Yes"/>
    <n v="5"/>
    <n v="1"/>
    <n v="1"/>
    <n v="2"/>
    <n v="0.5"/>
    <n v="0.5"/>
    <n v="0.4"/>
    <n v="0.6"/>
  </r>
  <r>
    <s v="H1822"/>
    <s v="IBIS SETE  BALARUC LES BAINS"/>
    <x v="0"/>
    <s v="01/01/1987"/>
    <n v="58"/>
    <x v="0"/>
    <s v="3 AVENUE DE LA PINEDE"/>
    <s v="PECH MEJA"/>
    <s v="-"/>
    <x v="293"/>
    <s v="BALARUC LES BAINS"/>
    <s v="3.685615"/>
    <s v="43.447164"/>
    <s v="Centre ville"/>
    <d v="2025-01-01T00:00:00"/>
    <d v="2025-01-01T00:00:00"/>
    <s v="Franchisee"/>
    <s v="PIERRE SIMON"/>
    <s v="Jean-Claude FOUCHET"/>
    <x v="0"/>
    <n v="1.5"/>
    <n v="0.7"/>
    <s v="January"/>
    <n v="0.6"/>
    <s v="August"/>
    <n v="0.8"/>
    <x v="0"/>
    <x v="0"/>
    <s v="No"/>
    <s v="Yes"/>
    <n v="2"/>
    <n v="1"/>
    <n v="1"/>
    <n v="1"/>
    <n v="0.5"/>
    <n v="0.5"/>
    <n v="0.4"/>
    <n v="0.6"/>
  </r>
  <r>
    <s v="H1823"/>
    <s v="IBIS GARE NORD CHATEAU LANDON"/>
    <x v="0"/>
    <s v="30/03/1996"/>
    <n v="161"/>
    <x v="3"/>
    <s v="197-199 RUE LA FAYETTE"/>
    <s v="-"/>
    <s v="-"/>
    <x v="144"/>
    <s v="PARIS"/>
    <s v="2.362791"/>
    <s v="48.880913"/>
    <s v="Centre ville"/>
    <d v="2025-01-01T00:00:00"/>
    <d v="2025-01-01T00:00:00"/>
    <s v="Franchisee"/>
    <s v="COFIGAD - ASTAN HOSPITALITY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827"/>
    <s v="IBIS PARIS VANVES PARC EXPO"/>
    <x v="0"/>
    <s v="22/09/1995"/>
    <n v="71"/>
    <x v="0"/>
    <s v="43 RUE JEAN  BLEUZEN"/>
    <s v="-"/>
    <s v="-"/>
    <x v="23"/>
    <s v="VANVES"/>
    <s v="2.294287"/>
    <s v="48.822136"/>
    <s v="Centre ville"/>
    <d v="2025-01-01T00:00:00"/>
    <d v="2025-01-01T00:00:00"/>
    <s v="Managed"/>
    <s v="FLORENCE BERNIS"/>
    <s v="Stephanie BAUME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1833"/>
    <s v="IBIS NANTES TREILLIERES"/>
    <x v="0"/>
    <s v="01/11/1990"/>
    <n v="70"/>
    <x v="0"/>
    <s v="ZONE D'ACTIVITÉS DE RAGON"/>
    <s v="1 ROUTE DE LA CHAPELLE SUR ERDRE"/>
    <s v="-"/>
    <x v="294"/>
    <s v="NANTES"/>
    <s v="-1.595422"/>
    <s v="47.277733"/>
    <s v="Centre ville"/>
    <d v="2025-01-01T00:00:00"/>
    <d v="2025-01-01T00:00:00"/>
    <s v="Franchisee"/>
    <s v="SOMEWHERE TO MEET"/>
    <s v="Jean-Luc RABAULT"/>
    <x v="1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1834"/>
    <s v="NOVOTEL PARIS PORTE D ORLEANS"/>
    <x v="3"/>
    <s v="01/03/1995"/>
    <n v="150"/>
    <x v="3"/>
    <s v="15 17 21 BOULEVARD ROMAIN"/>
    <s v="ROLLAND"/>
    <s v="-"/>
    <x v="9"/>
    <s v="PARIS"/>
    <s v="2.325805"/>
    <s v="48.819773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0"/>
    <x v="0"/>
    <s v="No"/>
    <s v="Yes"/>
    <n v="4"/>
    <n v="1"/>
    <n v="0"/>
    <s v="-"/>
    <n v="0.5"/>
    <n v="0.5"/>
    <n v="0.4"/>
    <n v="0.6"/>
  </r>
  <r>
    <s v="H1875"/>
    <s v="IBIS PARIS GARE MONTPARNASSE"/>
    <x v="0"/>
    <s v="01/12/1995"/>
    <n v="31"/>
    <x v="4"/>
    <s v="71 BOULEVARD DE VAUGIRARD"/>
    <s v="-"/>
    <s v="-"/>
    <x v="173"/>
    <s v="PARIS"/>
    <s v="2.315379"/>
    <s v="48.840402"/>
    <s v="Centre ville"/>
    <d v="2025-01-01T00:00:00"/>
    <d v="2025-01-01T00:00:00"/>
    <s v="Franchisee"/>
    <s v="DANIELE GERBAL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1888"/>
    <s v="MERCURE BOURGES BOURBON"/>
    <x v="1"/>
    <s v="21/04/1991"/>
    <n v="58"/>
    <x v="0"/>
    <s v="60 62 AVENUE JEAN JAURÈS"/>
    <s v="-"/>
    <s v="-"/>
    <x v="158"/>
    <s v="BOURGES"/>
    <s v="2.394419"/>
    <s v="47.090184"/>
    <s v="Centre ville"/>
    <d v="2025-01-01T00:00:00"/>
    <d v="2025-01-01T00:00:00"/>
    <s v="Franchisee"/>
    <s v="GEST HOTEL"/>
    <s v="Bruno COQUAZ"/>
    <x v="0"/>
    <n v="1.5"/>
    <n v="0.7"/>
    <s v="January"/>
    <n v="0.6"/>
    <s v="August"/>
    <n v="0.8"/>
    <x v="0"/>
    <x v="0"/>
    <s v="No"/>
    <s v="Yes"/>
    <n v="3"/>
    <n v="1"/>
    <n v="0"/>
    <s v="-"/>
    <n v="0.5"/>
    <n v="0.5"/>
    <n v="0.4"/>
    <n v="0.6"/>
  </r>
  <r>
    <s v="H1909"/>
    <s v="MERCURE VERSAILLES CHATEAU"/>
    <x v="1"/>
    <s v="01/01/1994"/>
    <n v="60"/>
    <x v="0"/>
    <s v="19 RUE PHILIPPE DE DANGEAU"/>
    <s v="ANGLE RUE MONTBAURON"/>
    <s v="-"/>
    <x v="256"/>
    <s v="VERSAILLES"/>
    <s v="2.134759"/>
    <s v="48.803245"/>
    <s v="Centre ville"/>
    <d v="2025-01-01T00:00:00"/>
    <d v="2025-01-01T00:00:00"/>
    <s v="Franchisee"/>
    <s v="FAMILLE BESNEVILLE-ROPAR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1913"/>
    <s v="MERCURE PARIS OPERA GARNIER"/>
    <x v="1"/>
    <s v="26/06/1996"/>
    <n v="139"/>
    <x v="1"/>
    <s v="4 RUE DE L 'ISLY"/>
    <s v="-"/>
    <s v="-"/>
    <x v="295"/>
    <s v="PARIS"/>
    <s v="2.326376"/>
    <s v="48.874806"/>
    <s v="Centre ville"/>
    <d v="2025-01-01T00:00:00"/>
    <d v="2025-01-01T00:00:00"/>
    <s v="Franchisee"/>
    <s v="FRANCOIS HENNESSY"/>
    <s v="Pierre LAGRANGE"/>
    <x v="0"/>
    <n v="1.5"/>
    <n v="0.7"/>
    <s v="January"/>
    <n v="0.6"/>
    <s v="August"/>
    <n v="0.8"/>
    <x v="0"/>
    <x v="1"/>
    <s v="No"/>
    <s v="Yes"/>
    <s v="-"/>
    <n v="1"/>
    <n v="1"/>
    <s v="-"/>
    <n v="0.5"/>
    <n v="0.5"/>
    <n v="0.4"/>
    <n v="0.6"/>
  </r>
  <r>
    <s v="H1936"/>
    <s v="IBIS PARIS BRANCION EXPO 15EME"/>
    <x v="0"/>
    <s v="01/01/1988"/>
    <n v="69"/>
    <x v="0"/>
    <s v="105 RUE BRANCION"/>
    <s v="-"/>
    <s v="-"/>
    <x v="173"/>
    <s v="PARIS"/>
    <s v="2.301942"/>
    <s v="48.830247"/>
    <s v="Centre ville"/>
    <d v="2025-01-01T00:00:00"/>
    <d v="2025-01-01T00:00:00"/>
    <s v="Franchisee"/>
    <s v="GROUPE VIKINGS HOTELLERIE"/>
    <s v="Thomas COSTE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937"/>
    <s v="IBIS PARIS GARE LYON L.ROLLIN"/>
    <x v="0"/>
    <s v="30/01/1997"/>
    <n v="119"/>
    <x v="1"/>
    <s v="41/43 AVENUE LEDRU ROLLIN"/>
    <s v="-"/>
    <s v="-"/>
    <x v="183"/>
    <s v="PARIS"/>
    <s v="2.370863"/>
    <s v="48.847692"/>
    <s v="Centre ville"/>
    <d v="2025-01-01T00:00:00"/>
    <d v="2025-01-01T00:00:00"/>
    <s v="Franchisee"/>
    <s v="COFIGAD - EME"/>
    <s v="Benoit D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1940"/>
    <s v="IBIS PARIS ST-DENIS STAD OUEST"/>
    <x v="0"/>
    <s v="01/01/1986"/>
    <n v="60"/>
    <x v="0"/>
    <s v="20 RUE JULES SAULNIER"/>
    <s v="LA PLAINE SAULNIER"/>
    <s v="-"/>
    <x v="296"/>
    <s v="SAINT DENIS"/>
    <s v="2.354913"/>
    <s v="48.925863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1951"/>
    <s v="MERCURE CAVAILLON LUBERON"/>
    <x v="1"/>
    <s v="01/01/1976"/>
    <n v="47"/>
    <x v="4"/>
    <s v="601 AVENUE BOSCODOMINI"/>
    <s v="-"/>
    <s v="-"/>
    <x v="297"/>
    <s v="CAVAILLON"/>
    <s v="5.038694"/>
    <s v="43.819197"/>
    <s v="Centre ville"/>
    <d v="2025-01-01T00:00:00"/>
    <d v="2025-01-01T00:00:00"/>
    <s v="Franchisee"/>
    <s v="CASTELLET HOSPITALITY"/>
    <s v="Jean-Claude FOUCHET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1952"/>
    <s v="MERCURE AVIGNON CITE DES PAPES"/>
    <x v="1"/>
    <s v="01/01/1976"/>
    <n v="86"/>
    <x v="0"/>
    <s v="1 RUE JEAN VILAR"/>
    <s v="GPS : RUE MOLIÈRE"/>
    <s v="-"/>
    <x v="42"/>
    <s v="AVIGNON"/>
    <s v="4.806551"/>
    <s v="43.949783"/>
    <s v="Centre ville"/>
    <d v="2025-01-01T00:00:00"/>
    <d v="2025-01-01T00:00:00"/>
    <s v="Franchisee"/>
    <s v="HOLDING JCAP - AURELIE PANATTONI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1966"/>
    <s v="IBIS PARIS GENNEVILLIERS"/>
    <x v="0"/>
    <s v="15/04/1987"/>
    <n v="60"/>
    <x v="0"/>
    <s v="32 RUE LOUIS CALMEL"/>
    <s v="-"/>
    <s v="-"/>
    <x v="298"/>
    <s v="GENNEVILLIERS"/>
    <s v="2.290925"/>
    <s v="48.925742"/>
    <s v="Centre ville"/>
    <d v="2025-01-01T00:00:00"/>
    <d v="2025-01-01T00:00:00"/>
    <s v="Franchisee"/>
    <s v="SAMIR PATEL"/>
    <s v="Thomas COSTES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1967"/>
    <s v="IBIS STYLES OUISTREHAM"/>
    <x v="2"/>
    <s v="01/07/1990"/>
    <n v="50"/>
    <x v="0"/>
    <s v="37 RUE DES DUNES"/>
    <s v="-"/>
    <s v="-"/>
    <x v="299"/>
    <s v="OUISTREHAM"/>
    <s v="-0.250744"/>
    <s v="49.283309"/>
    <s v="Centre ville"/>
    <d v="2025-01-01T00:00:00"/>
    <d v="2025-01-01T00:00:00"/>
    <s v="Franchisee"/>
    <s v="TOUSSAINT ROZE"/>
    <s v="Ronan LE MEUR"/>
    <x v="0"/>
    <n v="1.5"/>
    <n v="0.7"/>
    <s v="January"/>
    <n v="0.6"/>
    <s v="August"/>
    <n v="0.8"/>
    <x v="0"/>
    <x v="1"/>
    <s v="No"/>
    <s v="Yes"/>
    <n v="10"/>
    <s v="-"/>
    <n v="0"/>
    <s v="-"/>
    <n v="0.5"/>
    <n v="0.5"/>
    <n v="0.4"/>
    <n v="0.6"/>
  </r>
  <r>
    <s v="H1968"/>
    <s v="IBIS STYLES EVRY LISSES"/>
    <x v="2"/>
    <s v="10/11/1989"/>
    <n v="79"/>
    <x v="0"/>
    <s v="8 RUE DU BOIS CHALAND"/>
    <s v="LISSES"/>
    <s v="-"/>
    <x v="300"/>
    <s v="EVRY"/>
    <s v="2.431308"/>
    <s v="48.605216"/>
    <s v="Centre ville"/>
    <d v="2025-01-01T00:00:00"/>
    <d v="2025-01-01T00:00:00"/>
    <s v="Franchisee"/>
    <s v="123INVESTMENT MANAGERS - BRUNO ROBERT"/>
    <s v="Pierre LAGRANGE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1976"/>
    <s v="MERCURE FORBACH CTR LOISIRS"/>
    <x v="1"/>
    <s v="01/04/1984"/>
    <n v="63"/>
    <x v="0"/>
    <s v="70 RUE FELIX BARTH"/>
    <s v="-"/>
    <s v="-"/>
    <x v="301"/>
    <s v="FORBACH"/>
    <s v="6.898963"/>
    <s v="49.178155"/>
    <s v="Centre ville"/>
    <d v="2025-01-01T00:00:00"/>
    <d v="2025-01-01T00:00:00"/>
    <s v="Franchisee"/>
    <s v="XAVIER-ALEXANDRE ROTHACKER"/>
    <s v="Christophe RUQUEBOEUCH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1978"/>
    <s v="NOVOTEL PARIS VAUGIRARD MONTP"/>
    <x v="3"/>
    <s v="01/01/1990"/>
    <n v="198"/>
    <x v="3"/>
    <s v="257 RUE DE VAUGIRARD"/>
    <s v="-"/>
    <s v="-"/>
    <x v="173"/>
    <s v="PARIS"/>
    <s v="2.30303"/>
    <s v="48.83997"/>
    <s v="Centre ville"/>
    <d v="2025-01-01T00:00:00"/>
    <d v="2025-01-01T00:00:00"/>
    <s v="Managed"/>
    <s v="ACCORINVEST FRANCE"/>
    <s v="Philippe JAUSSELY"/>
    <x v="1"/>
    <n v="1.5"/>
    <n v="0.7"/>
    <s v="January"/>
    <n v="0.6"/>
    <s v="August"/>
    <n v="0.8"/>
    <x v="0"/>
    <x v="3"/>
    <s v="No"/>
    <s v="Yes"/>
    <n v="13"/>
    <n v="1"/>
    <n v="0"/>
    <s v="-"/>
    <n v="0.5"/>
    <n v="0.5"/>
    <n v="0.4"/>
    <n v="0.6"/>
  </r>
  <r>
    <s v="H1979"/>
    <s v="NOVOTEL PARIS PONT DE SEVRES"/>
    <x v="3"/>
    <s v="01/01/1990"/>
    <n v="131"/>
    <x v="1"/>
    <s v="11-13 GRANDE RUE"/>
    <s v="-"/>
    <s v="-"/>
    <x v="302"/>
    <s v="SEVRES"/>
    <s v="2.221632"/>
    <s v="48.826951"/>
    <s v="Centre ville"/>
    <d v="2025-01-01T00:00:00"/>
    <d v="2025-01-01T00:00:00"/>
    <s v="Franchisee"/>
    <s v="GROUPE COVIVIO"/>
    <s v="Damien RAPHANEL"/>
    <x v="1"/>
    <n v="1.5"/>
    <n v="0.7"/>
    <s v="January"/>
    <n v="0.6"/>
    <s v="August"/>
    <n v="0.8"/>
    <x v="1"/>
    <x v="0"/>
    <s v="No"/>
    <s v="Yes"/>
    <n v="11"/>
    <s v="-"/>
    <n v="0"/>
    <s v="-"/>
    <n v="0.5"/>
    <n v="0.5"/>
    <n v="0.4"/>
    <n v="0.6"/>
  </r>
  <r>
    <s v="H1982"/>
    <s v="MERCURE PARIS LA DEFENSE ARCHE"/>
    <x v="1"/>
    <s v="01/01/1991"/>
    <n v="97"/>
    <x v="0"/>
    <s v="17/20 ESPLANADE CH. DE GAULLE"/>
    <s v="RUE DES TROIS FONTANOT"/>
    <s v="-"/>
    <x v="265"/>
    <s v="LA DEFENSE"/>
    <s v="2.223648"/>
    <s v="48.895195"/>
    <s v="Centre ville"/>
    <d v="2025-01-01T00:00:00"/>
    <d v="2025-01-01T00:00:00"/>
    <s v="Franchisee"/>
    <s v="GROUPE COVIVIO"/>
    <s v="Florence DEBRUYNE"/>
    <x v="0"/>
    <n v="1.5"/>
    <n v="0.7"/>
    <s v="January"/>
    <n v="0.6"/>
    <s v="August"/>
    <n v="0.8"/>
    <x v="0"/>
    <x v="1"/>
    <s v="No"/>
    <s v="Yes"/>
    <n v="7"/>
    <n v="1"/>
    <n v="0"/>
    <s v="-"/>
    <n v="0.5"/>
    <n v="0.5"/>
    <n v="0.4"/>
    <n v="0.6"/>
  </r>
  <r>
    <s v="H1985"/>
    <s v="MERCURE NANTES CENTRE GD HOTEL"/>
    <x v="1"/>
    <s v="01/01/1912"/>
    <n v="162"/>
    <x v="3"/>
    <s v="4  RUE DU COUEDIC"/>
    <s v="ACCÈS GPS ZONE PIETONNE : N 47°12'48.91&quot; W 1°33'24.19&quot;"/>
    <s v="-"/>
    <x v="172"/>
    <s v="NANTES"/>
    <s v="-1.557058"/>
    <s v="47.214005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0"/>
    <s v="No"/>
    <s v="Yes"/>
    <n v="8"/>
    <n v="1"/>
    <n v="0"/>
    <s v="-"/>
    <n v="0.5"/>
    <n v="0.5"/>
    <n v="0.4"/>
    <n v="0.6"/>
  </r>
  <r>
    <s v="H1986"/>
    <s v="IBIS STYLES EVRY COURCOURONNES"/>
    <x v="2"/>
    <s v="01/01/1992"/>
    <n v="110"/>
    <x v="1"/>
    <s v="52 BOULEVARD DES COQUIBUS"/>
    <s v="-"/>
    <s v="-"/>
    <x v="303"/>
    <s v="EVRY"/>
    <s v="2.429312"/>
    <s v="48.624892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1996"/>
    <s v="IBIS STYLES BORDEAUX SUD"/>
    <x v="2"/>
    <s v="01/03/1987"/>
    <n v="67"/>
    <x v="0"/>
    <s v="10 AVENUE DU MARÉCHAL  LECLERC"/>
    <s v="-"/>
    <s v="-"/>
    <x v="304"/>
    <s v="VILLENAVE D'ORNON"/>
    <s v="-0.569461"/>
    <s v="44.780071"/>
    <s v="Centre ville"/>
    <d v="2025-01-01T00:00:00"/>
    <d v="2025-01-01T00:00:00"/>
    <s v="Franchisee"/>
    <s v="FAMILLE FAURE"/>
    <s v="Jerome LANTERNIER"/>
    <x v="0"/>
    <n v="1.5"/>
    <n v="0.7"/>
    <s v="January"/>
    <n v="0.6"/>
    <s v="August"/>
    <n v="0.8"/>
    <x v="0"/>
    <x v="0"/>
    <s v="No"/>
    <s v="Yes"/>
    <n v="5"/>
    <n v="1"/>
    <n v="0"/>
    <s v="-"/>
    <n v="0.5"/>
    <n v="0.5"/>
    <n v="0.4"/>
    <n v="0.6"/>
  </r>
  <r>
    <s v="H2012"/>
    <s v="IBIS PARIS PORTE DE MONTREUIL"/>
    <x v="0"/>
    <s v="01/10/1997"/>
    <n v="175"/>
    <x v="3"/>
    <s v="2 AVENUE DU PROF. A. LEMIERRE"/>
    <s v="-"/>
    <s v="-"/>
    <x v="305"/>
    <s v="PARIS"/>
    <s v="2.415361"/>
    <s v="48.854452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2023"/>
    <s v="IBIS PARIS GARE DE L EST TGV"/>
    <x v="0"/>
    <s v="01/01/1988"/>
    <n v="68"/>
    <x v="0"/>
    <s v="6 RUE ST LAURENT"/>
    <s v="-"/>
    <s v="-"/>
    <x v="144"/>
    <s v="PARIS"/>
    <s v="2.358455"/>
    <s v="48.875439"/>
    <s v="Centre ville"/>
    <d v="2025-01-01T00:00:00"/>
    <d v="2025-01-01T00:00:00"/>
    <s v="Franchisee"/>
    <s v="LAURENCE DONAT"/>
    <s v="Benoit D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2027"/>
    <s v="MERCURE RENNES PLACE BRETAGNE"/>
    <x v="1"/>
    <s v="22/12/1997"/>
    <n v="48"/>
    <x v="4"/>
    <s v="6 RUE LANJUINAIS"/>
    <s v="-"/>
    <s v="-"/>
    <x v="136"/>
    <s v="RENNES"/>
    <s v="-1.682072"/>
    <s v="48.109485"/>
    <s v="Centre ville"/>
    <d v="2025-01-01T00:00:00"/>
    <d v="2025-01-01T00:00:00"/>
    <s v="Franchisee"/>
    <s v="FERRE HOTELS"/>
    <s v="Jean-Francois STEBLER"/>
    <x v="2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029"/>
    <s v="IBIS STRASBOURG NORD HAGUENAU"/>
    <x v="0"/>
    <s v="01/01/1985"/>
    <n v="61"/>
    <x v="0"/>
    <s v="2 CHEMIN DE LA SANDLACH"/>
    <s v="-"/>
    <s v="-"/>
    <x v="306"/>
    <s v="HAGUENAU"/>
    <s v="7.756219"/>
    <s v="48.827831"/>
    <s v="Centre ville"/>
    <d v="2025-01-01T00:00:00"/>
    <d v="2025-01-01T00:00:00"/>
    <s v="Franchisee"/>
    <s v="GAETAN LOEB"/>
    <s v="Christophe RUQUEBOEUCH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2041"/>
    <s v="IBIS PARIS PORTE DE BERCY"/>
    <x v="0"/>
    <s v="01/01/1990"/>
    <n v="78"/>
    <x v="0"/>
    <s v="2 PLACE DE L' EUROPE"/>
    <s v="-"/>
    <s v="-"/>
    <x v="307"/>
    <s v="CHARENTON LE PONT"/>
    <s v="2.394129"/>
    <s v="48.825239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0"/>
    <x v="0"/>
    <s v="No"/>
    <s v="Yes"/>
    <n v="10"/>
    <s v="-"/>
    <n v="0"/>
    <s v="-"/>
    <n v="0.5"/>
    <n v="0.5"/>
    <n v="0.4"/>
    <n v="0.6"/>
  </r>
  <r>
    <s v="H2051"/>
    <s v="IBIS LONGWY MEXY"/>
    <x v="0"/>
    <s v="01/01/1983"/>
    <n v="62"/>
    <x v="0"/>
    <s v="RUE DU CHÂTEAU D' EAU"/>
    <s v="-"/>
    <s v="-"/>
    <x v="308"/>
    <s v="MEXY"/>
    <s v="5.788422"/>
    <s v="49.500409"/>
    <s v="Centre ville"/>
    <d v="2025-01-01T00:00:00"/>
    <d v="2025-01-01T00:00:00"/>
    <s v="Franchisee"/>
    <s v="XAVIER-ALEXANDRE ROTHACKER"/>
    <s v="Christophe RUQUEBOEUCHE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2053"/>
    <s v="MERCURE PARIS ARC TR WAGRAM"/>
    <x v="1"/>
    <s v="08/06/1998"/>
    <n v="43"/>
    <x v="4"/>
    <s v="3 RUE BREY"/>
    <s v="-"/>
    <s v="-"/>
    <x v="20"/>
    <s v="PARIS"/>
    <s v="2.295988"/>
    <s v="48.875976"/>
    <s v="Centre ville"/>
    <d v="2025-01-01T00:00:00"/>
    <d v="2025-01-01T00:00:00"/>
    <s v="Franchisee"/>
    <s v="FAMILLE TIBOUL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057"/>
    <s v="MERCURE LYON CENTRE SAXE LAF."/>
    <x v="1"/>
    <s v="01/07/1999"/>
    <n v="156"/>
    <x v="3"/>
    <s v="29 RUE DE BONNEL"/>
    <s v="-"/>
    <s v="-"/>
    <x v="101"/>
    <s v="LYON"/>
    <s v="4.845861"/>
    <s v="45.7617"/>
    <s v="Centre ville"/>
    <d v="2025-01-01T00:00:00"/>
    <d v="2025-01-01T00:00:00"/>
    <s v="Franchisee"/>
    <s v="GROUPE COVIVIO"/>
    <s v="Florence DEBRUYNE"/>
    <x v="0"/>
    <n v="1.5"/>
    <n v="0.7"/>
    <s v="January"/>
    <n v="0.6"/>
    <s v="August"/>
    <n v="0.8"/>
    <x v="0"/>
    <x v="0"/>
    <s v="No"/>
    <s v="Yes"/>
    <n v="10"/>
    <n v="1"/>
    <n v="0"/>
    <n v="1"/>
    <n v="0.5"/>
    <n v="0.5"/>
    <n v="0.4"/>
    <n v="0.6"/>
  </r>
  <r>
    <s v="H2075"/>
    <s v="IBIS BUDGET NICE CALIFORNIE"/>
    <x v="4"/>
    <s v="01/07/1992"/>
    <n v="129"/>
    <x v="1"/>
    <s v="58-60 AVENUE DE LA CALIFORNIE"/>
    <s v="-"/>
    <s v="-"/>
    <x v="142"/>
    <s v="NICE"/>
    <s v="7.240512"/>
    <s v="43.689186"/>
    <s v="Centre ville"/>
    <d v="2025-01-01T00:00:00"/>
    <d v="2025-01-01T00:00:00"/>
    <s v="Franchisee"/>
    <s v="FAMILLE FARINES"/>
    <s v="Marion BOROT"/>
    <x v="0"/>
    <n v="1.5"/>
    <n v="0.7"/>
    <s v="January"/>
    <n v="0.6"/>
    <s v="August"/>
    <n v="0.8"/>
    <x v="1"/>
    <x v="1"/>
    <s v="No"/>
    <s v="Yes"/>
    <n v="4"/>
    <s v="-"/>
    <n v="0"/>
    <s v="-"/>
    <n v="0.5"/>
    <n v="0.5"/>
    <n v="0.4"/>
    <n v="0.6"/>
  </r>
  <r>
    <s v="H2076"/>
    <s v="IBIS PARIS PERE LACHAISE"/>
    <x v="0"/>
    <s v="01/06/1998"/>
    <n v="31"/>
    <x v="4"/>
    <s v="80 RUE DE LA FOLIE RÉGNAULT"/>
    <s v="-"/>
    <s v="-"/>
    <x v="251"/>
    <s v="PARIS"/>
    <s v="2.385502"/>
    <s v="48.861905"/>
    <s v="Centre ville"/>
    <d v="2025-01-01T00:00:00"/>
    <d v="2025-01-01T00:00:00"/>
    <s v="Franchisee"/>
    <s v="BRAHIM OUCHELH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079"/>
    <s v="IBIS STYLES BORDEAUX AEROPORT"/>
    <x v="2"/>
    <s v="01/06/1987"/>
    <n v="81"/>
    <x v="0"/>
    <s v="95 AVENUE J F KENNEDY"/>
    <s v="-"/>
    <s v="-"/>
    <x v="44"/>
    <s v="MERIGNAC"/>
    <s v="-0.688978"/>
    <s v="44.835338"/>
    <s v="Centre ville"/>
    <d v="2025-01-01T00:00:00"/>
    <d v="2025-01-01T00:00:00"/>
    <s v="Franchisee"/>
    <s v="MARC GAULIN"/>
    <s v="Jerome LANTERNI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2082"/>
    <s v="IBIS PARIS PANTIN EGLISE"/>
    <x v="0"/>
    <s v="11/07/1998"/>
    <n v="130"/>
    <x v="1"/>
    <s v="153 AVENUE JEAN LOLIVE"/>
    <s v="-"/>
    <s v="-"/>
    <x v="309"/>
    <s v="PANTIN"/>
    <s v="2.413162"/>
    <s v="48.893305"/>
    <s v="Centre ville"/>
    <d v="2025-01-01T00:00:00"/>
    <d v="2025-01-01T00:00:00"/>
    <s v="Franchisee"/>
    <s v="GROUPE COVIVIO"/>
    <s v="Florence DEBRUY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095"/>
    <s v="IBIS STYLES TOULON CENTRE PORT"/>
    <x v="2"/>
    <s v="01/05/1994"/>
    <n v="139"/>
    <x v="1"/>
    <s v="PLACE BESAGNE"/>
    <s v="PARKING LAFAYETTE ACCÈS PAR RUE DUTASTA"/>
    <s v="-"/>
    <x v="310"/>
    <s v="TOULON"/>
    <s v="5.935626"/>
    <s v="43.119537"/>
    <s v="Centre ville"/>
    <d v="2025-01-01T00:00:00"/>
    <d v="2025-01-01T00:00:00"/>
    <s v="Franchisee"/>
    <s v="CASTELLET HOSPITALITY"/>
    <s v="Marion BOROT"/>
    <x v="0"/>
    <n v="1.5"/>
    <n v="0.7"/>
    <s v="January"/>
    <n v="0.6"/>
    <s v="August"/>
    <n v="0.8"/>
    <x v="0"/>
    <x v="0"/>
    <s v="No"/>
    <s v="Yes"/>
    <n v="7"/>
    <s v="-"/>
    <n v="0"/>
    <s v="-"/>
    <n v="0.5"/>
    <n v="0.5"/>
    <n v="0.4"/>
    <n v="0.6"/>
  </r>
  <r>
    <s v="H2149"/>
    <s v="MERCURE STRASBOURG GARE"/>
    <x v="1"/>
    <s v="01/01/1993"/>
    <n v="68"/>
    <x v="0"/>
    <s v="14-15 PLACE DE LA GARE"/>
    <s v="-"/>
    <s v="-"/>
    <x v="68"/>
    <s v="STRASBOURG"/>
    <s v="7.736245"/>
    <s v="48.584997"/>
    <s v="Centre ville"/>
    <d v="2025-01-01T00:00:00"/>
    <d v="2025-01-01T00:00:00"/>
    <s v="Franchisee"/>
    <s v="FAMILLE CADIEUX"/>
    <s v="Christophe RUQUEBOEUCHE"/>
    <x v="1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2160"/>
    <s v="IBIS CHERBOURG"/>
    <x v="0"/>
    <s v="01/07/1992"/>
    <n v="71"/>
    <x v="0"/>
    <s v="2 RUE DU CHATEAU D'EAU"/>
    <s v="LA GLACERIE"/>
    <s v="-"/>
    <x v="311"/>
    <s v="CHERBOURG"/>
    <s v="-1.595888"/>
    <s v="49.600651"/>
    <s v="Centre ville"/>
    <d v="2025-01-01T00:00:00"/>
    <d v="2025-01-01T00:00:00"/>
    <s v="Franchisee"/>
    <s v="FAMILLE CHOINARD"/>
    <s v="Jean-Francois STEBL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2169"/>
    <s v="IBIS LYON SUD CHASSE SUR RHONE"/>
    <x v="0"/>
    <s v="01/01/1992"/>
    <n v="58"/>
    <x v="0"/>
    <s v="145 RUE PASTEUR"/>
    <s v="-"/>
    <s v="-"/>
    <x v="7"/>
    <s v="CHASSE SUR RHONE"/>
    <s v="4.787164"/>
    <s v="45.587097"/>
    <s v="Centre ville"/>
    <d v="2025-01-01T00:00:00"/>
    <d v="2025-01-01T00:00:00"/>
    <s v="Franchisee"/>
    <s v="SYLVAIN POSER"/>
    <s v="Katia GARNIER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2175"/>
    <s v="MERCURE PARIS CTR TOUR EIFFEL"/>
    <x v="1"/>
    <s v="01/10/1972"/>
    <n v="405"/>
    <x v="2"/>
    <s v="20 RUE JEAN REY"/>
    <s v="-"/>
    <s v="-"/>
    <x v="173"/>
    <s v="PARIS"/>
    <s v="2.291969"/>
    <s v="48.855381"/>
    <s v="Centre ville"/>
    <d v="2025-01-01T00:00:00"/>
    <d v="2025-01-01T00:00:00"/>
    <s v="Managed"/>
    <s v="GROUPE COVIVIO"/>
    <s v="Olivier BRISSARD"/>
    <x v="1"/>
    <n v="1.5"/>
    <n v="0.7"/>
    <s v="January"/>
    <n v="0.6"/>
    <s v="August"/>
    <n v="0.8"/>
    <x v="0"/>
    <x v="1"/>
    <s v="No"/>
    <s v="Yes"/>
    <n v="6"/>
    <n v="1"/>
    <n v="0"/>
    <s v="-"/>
    <n v="0.5"/>
    <n v="0.5"/>
    <n v="0.4"/>
    <n v="0.6"/>
  </r>
  <r>
    <s v="H2179"/>
    <s v="IBIS CAVAILLON LUBERON"/>
    <x v="0"/>
    <s v="01/01/1976"/>
    <n v="62"/>
    <x v="0"/>
    <s v="601 AVENUE BOSCODOMINI"/>
    <s v="-"/>
    <s v="-"/>
    <x v="297"/>
    <s v="CAVAILLON"/>
    <s v="5.039519"/>
    <s v="43.819164"/>
    <s v="Centre ville"/>
    <d v="2025-01-01T00:00:00"/>
    <d v="2025-01-01T00:00:00"/>
    <s v="Franchisee"/>
    <s v="CASTELLET HOSPITALITY"/>
    <s v="Jean-Claude FOUCHET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2182"/>
    <s v="MERCURE VANNES LE PORT"/>
    <x v="1"/>
    <s v="01/06/1987"/>
    <n v="89"/>
    <x v="0"/>
    <s v="19 RUE DANIEL GILARD"/>
    <s v="LE PARC DU GOLFE"/>
    <s v="-"/>
    <x v="114"/>
    <s v="VANNES"/>
    <s v="-2.764821"/>
    <s v="47.638107"/>
    <s v="Centre ville"/>
    <d v="2025-01-01T00:00:00"/>
    <d v="2025-01-01T00:00:00"/>
    <s v="Franchisee"/>
    <s v="GROUPE KERDONIS"/>
    <s v="Jean-Luc RABAULT"/>
    <x v="0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2183"/>
    <s v="MERCURE MONTAUBAN"/>
    <x v="1"/>
    <s v="01/01/1826"/>
    <n v="44"/>
    <x v="4"/>
    <s v="12 RUE NOTRE DAME"/>
    <s v="-"/>
    <s v="-"/>
    <x v="312"/>
    <s v="MONTAUBAN"/>
    <s v="1.355025"/>
    <s v="44.015701"/>
    <s v="Centre ville"/>
    <d v="2025-01-01T00:00:00"/>
    <d v="2025-01-01T00:00:00"/>
    <s v="Franchisee"/>
    <s v="FAMILLE POUJOL"/>
    <s v="Jean Francois SANCHEZ"/>
    <x v="1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2186"/>
    <s v="MERCURE NICE CENTRE GRIMALDI"/>
    <x v="1"/>
    <s v="01/12/1930"/>
    <n v="85"/>
    <x v="0"/>
    <s v="6 RUE GRIMALDI"/>
    <s v="-"/>
    <s v="-"/>
    <x v="14"/>
    <s v="NICE"/>
    <s v="7.265536"/>
    <s v="43.698193"/>
    <s v="Centre ville"/>
    <d v="2025-01-01T00:00:00"/>
    <d v="2025-01-01T00:00:00"/>
    <s v="Managed"/>
    <s v="ACCORINVEST FRANCE"/>
    <s v="Philippe DUCROCQ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189"/>
    <s v="IBIS PARIS 17 CLICHY-BATIGNOLLES"/>
    <x v="0"/>
    <s v="01/01/1974"/>
    <n v="688"/>
    <x v="2"/>
    <s v="10 RUE BERNARD BUFFET"/>
    <s v="-"/>
    <s v="-"/>
    <x v="20"/>
    <s v="PARIS"/>
    <s v="2.316935"/>
    <s v="48.892219"/>
    <s v="Centre ville"/>
    <d v="2025-01-01T00:00:00"/>
    <d v="2025-01-01T00:00:00"/>
    <s v="Managed"/>
    <s v="GROUPE COVIVIO"/>
    <s v="Olivier BRISSARD"/>
    <x v="0"/>
    <n v="1.5"/>
    <n v="0.7"/>
    <s v="January"/>
    <n v="0.6"/>
    <s v="August"/>
    <n v="0.8"/>
    <x v="0"/>
    <x v="2"/>
    <s v="No"/>
    <s v="Yes"/>
    <n v="19"/>
    <s v="-"/>
    <n v="0"/>
    <s v="-"/>
    <n v="0.5"/>
    <n v="0.5"/>
    <n v="0.4"/>
    <n v="0.6"/>
  </r>
  <r>
    <s v="H2190"/>
    <s v="NOVOTEL LA GRANDE MOTTE GOLF"/>
    <x v="3"/>
    <s v="01/07/1991"/>
    <n v="83"/>
    <x v="0"/>
    <s v="1641 AVENUE DU GOLF"/>
    <s v="QUARTIER GOLF PONANT"/>
    <s v="-"/>
    <x v="236"/>
    <s v="LA GRANDE MOTTE"/>
    <s v="4.102915"/>
    <s v="43.57118"/>
    <s v="Centre ville"/>
    <d v="2025-01-01T00:00:00"/>
    <d v="2025-01-01T00:00:00"/>
    <s v="Franchisee"/>
    <s v="FAMILLE BLANC"/>
    <s v="Jean-Claude FOUCHET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2193"/>
    <s v="IBIS BUDGET STRASBOURG SUD"/>
    <x v="4"/>
    <s v="01/01/1999"/>
    <n v="83"/>
    <x v="0"/>
    <s v="10 RUE DE L'ILL"/>
    <s v="RN 83 ZA DE L'ILL"/>
    <s v="-"/>
    <x v="313"/>
    <s v="GEISPOLSHEIM"/>
    <s v="7.697348"/>
    <s v="48.511261"/>
    <s v="Centre ville"/>
    <d v="2025-01-01T00:00:00"/>
    <d v="2025-01-01T00:00:00"/>
    <s v="Franchisee"/>
    <s v="FAMILLE HAMM"/>
    <s v="Christophe RUQUEBOEUCHE"/>
    <x v="0"/>
    <n v="1.5"/>
    <n v="0.7"/>
    <s v="January"/>
    <n v="0.6"/>
    <s v="August"/>
    <n v="0.8"/>
    <x v="0"/>
    <x v="1"/>
    <s v="No"/>
    <s v="Yes"/>
    <s v="-"/>
    <n v="1"/>
    <n v="0"/>
    <s v="-"/>
    <n v="0.5"/>
    <n v="0.5"/>
    <n v="0.4"/>
    <n v="0.6"/>
  </r>
  <r>
    <s v="H2217"/>
    <s v="MERCURE PARIS GARE DE LYON TGV"/>
    <x v="1"/>
    <s v="01/06/1986"/>
    <n v="315"/>
    <x v="2"/>
    <s v="2 PLACE LOUIS ARMAND"/>
    <s v="-"/>
    <s v="-"/>
    <x v="183"/>
    <s v="PARIS"/>
    <s v="2.372532"/>
    <s v="48.844779"/>
    <s v="Centre ville"/>
    <d v="2025-01-01T00:00:00"/>
    <d v="2025-01-01T00:00:00"/>
    <s v="Managed"/>
    <s v="ACCORINVEST FRANCE"/>
    <s v="Philippe JAUSSELY"/>
    <x v="0"/>
    <n v="1.5"/>
    <n v="0.7"/>
    <s v="January"/>
    <n v="0.6"/>
    <s v="August"/>
    <n v="0.8"/>
    <x v="3"/>
    <x v="1"/>
    <s v="No"/>
    <s v="Yes"/>
    <n v="5"/>
    <n v="1"/>
    <n v="0"/>
    <s v="-"/>
    <n v="0.5"/>
    <n v="0.5"/>
    <n v="0.4"/>
    <n v="0.6"/>
  </r>
  <r>
    <s v="H2347"/>
    <s v="IBIS BUDGET SANTENY"/>
    <x v="4"/>
    <s v="23/09/1991"/>
    <n v="52"/>
    <x v="0"/>
    <s v="L'ORÉE DU VAL DE MARNE"/>
    <s v="RUE DU NOYER DE SAINT-GERMAIN"/>
    <s v="-"/>
    <x v="314"/>
    <s v="SANTENY"/>
    <s v="2.564329"/>
    <s v="48.719644"/>
    <s v="Centre ville"/>
    <d v="2025-01-01T00:00:00"/>
    <d v="2025-01-01T00:00:00"/>
    <s v="Franchisee"/>
    <s v="HAMIDA BENYACOUB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348"/>
    <s v="IBIS BUDGET STRASBOURG LA VIGIE"/>
    <x v="4"/>
    <s v="16/07/1992"/>
    <n v="93"/>
    <x v="0"/>
    <s v="15 RUE FERDINAND BRAUN"/>
    <s v="LIEU-DIT LA VIGIE"/>
    <s v="-"/>
    <x v="18"/>
    <s v="OSTWALD"/>
    <s v="7.691529"/>
    <s v="48.534337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351"/>
    <s v="IBIS BUDGET ANTIBES SOPHIA"/>
    <x v="4"/>
    <s v="23/10/1992"/>
    <n v="92"/>
    <x v="0"/>
    <s v="2740 CHEMIN SAINT BERNARD"/>
    <s v="-"/>
    <s v="-"/>
    <x v="315"/>
    <s v="VALLAURIS"/>
    <s v="7.060586"/>
    <s v="43.600483"/>
    <s v="Centre ville"/>
    <d v="2025-01-01T00:00:00"/>
    <d v="2025-01-01T00:00:00"/>
    <s v="Managed"/>
    <s v="ACCORINVEST FRANCE"/>
    <s v="Philippe DUCROCQ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409"/>
    <s v="IBIS BUDGET VICHY"/>
    <x v="4"/>
    <s v="08/01/1992"/>
    <n v="72"/>
    <x v="0"/>
    <s v="145 AVENUE DE VICHY"/>
    <s v="-"/>
    <s v="-"/>
    <x v="316"/>
    <s v="BELLERIVE SUR ALLIER"/>
    <s v="3.401312"/>
    <s v="46.125197"/>
    <s v="Centre ville"/>
    <d v="2025-01-01T00:00:00"/>
    <d v="2025-01-01T00:00:00"/>
    <s v="Franchisee"/>
    <s v="GUILLAUME LUCOT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450"/>
    <s v="IBIS BUDGET MARNE LA VALLEE"/>
    <x v="4"/>
    <s v="09/03/1993"/>
    <n v="100"/>
    <x v="1"/>
    <s v="E.A.E LA TUILERIE"/>
    <s v="9 RUE DE DERRIÈRE LA MONTAGNE"/>
    <s v="-"/>
    <x v="317"/>
    <s v="CHELLES"/>
    <s v="2.593597"/>
    <s v="48.890561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483"/>
    <s v="IBIS BUDGET LE CANNET"/>
    <x v="4"/>
    <s v="21/09/1992"/>
    <n v="57"/>
    <x v="0"/>
    <s v="ROUTE DE THORONET"/>
    <s v="LIEU-DIT &quot;LE CLOS&quot;"/>
    <s v="-"/>
    <x v="318"/>
    <s v="LE CANNET DES MAURES"/>
    <e v="#N/A"/>
    <e v="#N/A"/>
    <s v="Centre ville"/>
    <d v="2025-01-01T00:00:00"/>
    <d v="2025-01-01T00:00:00"/>
    <s v="Franchisee"/>
    <s v="FAMILLE NOGIER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489"/>
    <s v="IBIS BUDGET EPINAL"/>
    <x v="4"/>
    <s v="28/08/2022"/>
    <n v="73"/>
    <x v="0"/>
    <s v="RUE DES RAPAILLES"/>
    <s v="ZA DE LA ROCHE"/>
    <s v="-"/>
    <x v="319"/>
    <s v="EPINAL"/>
    <s v="6.473297"/>
    <s v="48.185631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495"/>
    <s v="IBIS BUDGET LE PUY EN VELAY"/>
    <x v="4"/>
    <s v="01/05/2012"/>
    <n v="82"/>
    <x v="0"/>
    <s v="25 AVENUE CHARLES DUPUY"/>
    <s v="-"/>
    <s v="-"/>
    <x v="193"/>
    <s v="LE PUY EN VELAY"/>
    <s v="3.891738"/>
    <s v="45.043044"/>
    <s v="Centre ville"/>
    <d v="2025-01-01T00:00:00"/>
    <d v="2025-01-01T00:00:00"/>
    <s v="Franchisee"/>
    <s v="EMMANUEL CRESPY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496"/>
    <s v="IBIS BUDGET MACON NORD"/>
    <x v="4"/>
    <s v="30/09/1993"/>
    <n v="56"/>
    <x v="0"/>
    <s v="PÉAGE MÂCON NORD A6"/>
    <s v="564 ROUTE DE SAINT MARTIN"/>
    <s v="SENNECÉ LES MÂCON"/>
    <x v="67"/>
    <s v="MACON"/>
    <s v="4.841816"/>
    <s v="46.366121"/>
    <s v="Centre ville"/>
    <d v="2025-01-01T00:00:00"/>
    <d v="2025-01-01T00:00:00"/>
    <s v="Franchisee"/>
    <s v="GRAPE HOSPITALITY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01"/>
    <s v="IBIS BUDGET SUCY EN BRIE"/>
    <x v="4"/>
    <s v="04/03/1994"/>
    <n v="80"/>
    <x v="0"/>
    <s v="3 RUE DES AMÉRIQUES"/>
    <s v="ZAC DU PETIT MARAIS"/>
    <s v="-"/>
    <x v="320"/>
    <s v="SUCY EN BRIE"/>
    <s v="2.498194"/>
    <s v="48.774399"/>
    <s v="Centre ville"/>
    <d v="2025-01-01T00:00:00"/>
    <d v="2025-01-01T00:00:00"/>
    <s v="Franchisee"/>
    <s v="SO ECO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04"/>
    <s v="IBIS BUDGET MONTBELIARD"/>
    <x v="4"/>
    <s v="17/09/1993"/>
    <n v="96"/>
    <x v="0"/>
    <s v="48 RUE JACQUES FOILLET"/>
    <s v="ZAC DU PIED DES GOUTTES"/>
    <s v="-"/>
    <x v="103"/>
    <s v="MONTBELIARD"/>
    <s v="6.817138"/>
    <s v="47.498699"/>
    <s v="Centre ville"/>
    <d v="2025-01-01T00:00:00"/>
    <d v="2025-01-01T00:00:00"/>
    <s v="Franchisee"/>
    <s v="ALPHONSE ANDRIAMASY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07"/>
    <s v="IBIS BUDGET CLERMONT FERRAND SUD"/>
    <x v="4"/>
    <s v="05/10/1994"/>
    <n v="74"/>
    <x v="0"/>
    <s v="22 AVENUE LAVOISIER"/>
    <s v="CAP SUD"/>
    <s v="-"/>
    <x v="321"/>
    <s v="AUBIERE"/>
    <s v="3.141984"/>
    <s v="45.756795"/>
    <s v="Centre ville"/>
    <d v="2025-01-01T00:00:00"/>
    <d v="2025-01-01T00:00:00"/>
    <s v="Franchisee"/>
    <s v="APARTNERS CAPITAL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11"/>
    <s v="IBIS BUDGET L ISLE ADAM"/>
    <x v="4"/>
    <s v="27/09/1994"/>
    <n v="68"/>
    <x v="0"/>
    <s v="CENTRE COMMERCIAL LE GRAND VAL"/>
    <s v="ZAC DU PONT AUX RAYONS"/>
    <s v="-"/>
    <x v="322"/>
    <s v="L'ISLE ADAM"/>
    <s v="2.250062"/>
    <s v="49.125392"/>
    <s v="Centre ville"/>
    <d v="2025-01-01T00:00:00"/>
    <d v="2025-01-01T00:00:00"/>
    <s v="Franchisee"/>
    <s v="ACCORINVEST FRANCE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12"/>
    <s v="IBIS BUDGET ANGERS PARC EXPOS"/>
    <x v="4"/>
    <s v="26/11/1994"/>
    <n v="56"/>
    <x v="0"/>
    <s v="LIEUDIT LA FAUVELAIE"/>
    <s v="A11-AIRE DES PORTES D'ANGERS"/>
    <s v="-"/>
    <x v="323"/>
    <s v="SAINT SYLVAIN D'ANJOU"/>
    <s v="-0.491796"/>
    <s v="47.499214"/>
    <s v="Centre ville"/>
    <d v="2025-01-01T00:00:00"/>
    <d v="2025-01-01T00:00:00"/>
    <s v="Franchisee"/>
    <s v="DAVID DONGAIS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13"/>
    <s v="IBIS BUDGET ST GRATIEN - ENGHIEN"/>
    <x v="4"/>
    <s v="10/02/1995"/>
    <n v="98"/>
    <x v="0"/>
    <s v="2/8 BOULEVARD PASTEUR"/>
    <s v="-"/>
    <s v="-"/>
    <x v="324"/>
    <s v="SAINT GRATIEN"/>
    <s v="2.282455"/>
    <s v="48.965549"/>
    <s v="Centre ville"/>
    <d v="2025-01-01T00:00:00"/>
    <d v="2025-01-01T00:00:00"/>
    <s v="Franchisee"/>
    <s v="ACCORINVEST FRANCE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14"/>
    <s v="IBIS BUDGET MARSEILLE TIMONE"/>
    <x v="4"/>
    <s v="25/09/1995"/>
    <n v="96"/>
    <x v="0"/>
    <s v="69 BOULEVARD SAKAKINI"/>
    <s v="-"/>
    <s v="-"/>
    <x v="230"/>
    <s v="MARSEILLE"/>
    <s v="5.400739"/>
    <s v="43.295242"/>
    <s v="Centre ville"/>
    <d v="2025-01-01T00:00:00"/>
    <d v="2025-01-01T00:00:00"/>
    <s v="Franchisee"/>
    <s v="CASTELLET HOSPITALITY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15"/>
    <s v="IBIS BUDGET VERSAILLES TRAPPES"/>
    <x v="4"/>
    <s v="26/08/1994"/>
    <n v="76"/>
    <x v="0"/>
    <s v="CENTRE DE VIE IMMOPARC"/>
    <s v="RN 10"/>
    <s v="-"/>
    <x v="325"/>
    <s v="TRAPPES"/>
    <s v="1.974342"/>
    <s v="48.766309"/>
    <s v="Centre ville"/>
    <d v="2025-01-01T00:00:00"/>
    <d v="2025-01-01T00:00:00"/>
    <s v="Franchisee"/>
    <s v="H.S.I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24"/>
    <s v="IBIS BUDGET BEAUNE"/>
    <x v="4"/>
    <s v="08/08/1995"/>
    <n v="68"/>
    <x v="0"/>
    <s v="23 AVENUE CHARLES DE GAULLE"/>
    <s v="-"/>
    <s v="-"/>
    <x v="192"/>
    <s v="BEAUNE"/>
    <s v="4.84834"/>
    <s v="47.00767"/>
    <s v="Centre ville"/>
    <d v="2025-01-01T00:00:00"/>
    <d v="2025-01-01T00:00:00"/>
    <s v="Franchisee"/>
    <s v="APARTNERS CAPITAL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27"/>
    <s v="IBIS BUDGET NANTES OUEST COUERON"/>
    <x v="4"/>
    <s v="01/08/1994"/>
    <n v="64"/>
    <x v="0"/>
    <s v="RUE DES MEUNIERS"/>
    <s v="LA BARRIÈRE NOIRE"/>
    <s v="-"/>
    <x v="326"/>
    <s v="COUERON"/>
    <s v="-1.672089"/>
    <s v="47.242925"/>
    <s v="Centre ville"/>
    <d v="2025-01-01T00:00:00"/>
    <d v="2025-01-01T00:00:00"/>
    <s v="Franchisee"/>
    <s v="BOUCLET - MOUCHONNET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31"/>
    <s v="IBIS BUDGET TOULOUSE COLOMIERS"/>
    <x v="4"/>
    <s v="19/01/1995"/>
    <n v="51"/>
    <x v="0"/>
    <s v="2 AVENUE HERMÈS"/>
    <s v="-"/>
    <s v="-"/>
    <x v="327"/>
    <s v="COLOMIERS"/>
    <s v="1.35041"/>
    <s v="43.606428"/>
    <s v="Centre ville"/>
    <d v="2025-01-01T00:00:00"/>
    <d v="2025-01-01T00:00:00"/>
    <s v="Franchisee"/>
    <s v="JEAN-MICHEL RANCOULE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32"/>
    <s v="IBIS BUDGET LYON CALUIRE"/>
    <x v="4"/>
    <s v="29/04/1995"/>
    <n v="71"/>
    <x v="0"/>
    <s v="154 GRANDE RUE DE ST CLAIR"/>
    <s v="-"/>
    <s v="-"/>
    <x v="328"/>
    <s v="CALUIRE"/>
    <s v="4.85942"/>
    <s v="45.790821"/>
    <s v="Centre ville"/>
    <d v="2025-01-01T00:00:00"/>
    <d v="2025-01-01T00:00:00"/>
    <s v="Franchisee"/>
    <s v="B.H.I"/>
    <s v="Katia GARNIER"/>
    <x v="0"/>
    <n v="1.5"/>
    <n v="0.7"/>
    <s v="January"/>
    <n v="0.6"/>
    <s v="August"/>
    <n v="0.8"/>
    <x v="1"/>
    <x v="1"/>
    <s v="No"/>
    <s v="Yes"/>
    <n v="3"/>
    <s v="-"/>
    <n v="0"/>
    <s v="-"/>
    <n v="0.5"/>
    <n v="0.5"/>
    <n v="0.4"/>
    <n v="0.6"/>
  </r>
  <r>
    <s v="H2538"/>
    <s v="IBIS BUDGET MARNE LA VALLEE"/>
    <x v="4"/>
    <s v="29/04/1995"/>
    <n v="47"/>
    <x v="4"/>
    <s v="1 AVENUE DE L'EUROPE"/>
    <s v="-"/>
    <s v="-"/>
    <x v="329"/>
    <s v="BRY SUR MARNE"/>
    <s v="2.593597"/>
    <s v="48.890561"/>
    <s v="Centre ville"/>
    <d v="2025-01-01T00:00:00"/>
    <d v="2025-01-01T00:00:00"/>
    <s v="Franchisee"/>
    <s v="ACCORINVEST FRANCE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1"/>
    <s v="IBIS BUDGET CHAMBERY SUD CHALLES"/>
    <x v="4"/>
    <s v="03/02/1995"/>
    <n v="43"/>
    <x v="4"/>
    <s v="RN 6"/>
    <s v="ZA DU PUIT D'ORDET"/>
    <s v="-"/>
    <x v="330"/>
    <s v="CHALLES LES EAUX"/>
    <s v="5.976757"/>
    <s v="45.555851"/>
    <s v="Centre ville"/>
    <d v="2025-01-01T00:00:00"/>
    <d v="2025-01-01T00:00:00"/>
    <s v="Franchisee"/>
    <s v="FAMILLE PEDRETTI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2"/>
    <s v="IBIS BUDGET DUNKERQUE GRANDE SYN"/>
    <x v="4"/>
    <s v="13/02/1995"/>
    <n v="43"/>
    <x v="4"/>
    <s v="RUE DE LA PORTE DE LILLE"/>
    <s v="ZAC DE COURGHAIN"/>
    <s v="-"/>
    <x v="331"/>
    <s v="GRANDE SYNTHE"/>
    <s v="2.310909"/>
    <s v="51.007301"/>
    <s v="Centre ville"/>
    <d v="2025-01-01T00:00:00"/>
    <d v="2025-01-01T00:00:00"/>
    <s v="Franchisee"/>
    <s v="GROUPE DERET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3"/>
    <s v="IBIS BUDGET BOURGES"/>
    <x v="4"/>
    <s v="25/03/1995"/>
    <n v="75"/>
    <x v="0"/>
    <s v="ZAC CÉSAR"/>
    <s v="-"/>
    <s v="-"/>
    <x v="245"/>
    <s v="LE SUBDRAY"/>
    <s v="2.331972"/>
    <s v="47.04475"/>
    <s v="Centre ville"/>
    <d v="2025-01-01T00:00:00"/>
    <d v="2025-01-01T00:00:00"/>
    <s v="Franchisee"/>
    <s v="GEST HOTEL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4"/>
    <s v="IBIS BUDGET ST ETIENNE STADE"/>
    <x v="4"/>
    <s v="01/04/1995"/>
    <n v="59"/>
    <x v="0"/>
    <s v="21 BOULEVARD GEORGES POMPIDOU"/>
    <s v="-"/>
    <s v="-"/>
    <x v="152"/>
    <s v="SAINT ETIENNE"/>
    <s v="4.401352"/>
    <s v="45.455389"/>
    <s v="Centre ville"/>
    <d v="2025-01-01T00:00:00"/>
    <d v="2025-01-01T00:00:00"/>
    <s v="Franchisee"/>
    <s v="JEAN MARIE FRAGNE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5"/>
    <s v="IBIS BUDGET GRENOBLE VOREPPE"/>
    <x v="4"/>
    <s v="13/07/1995"/>
    <n v="54"/>
    <x v="0"/>
    <s v="CHEMIN DES MARINIERS"/>
    <s v="PARC D'ACTIVITÉ DE L'ILE GABOURG"/>
    <s v="-"/>
    <x v="56"/>
    <s v="VOREPPE"/>
    <s v="5.621803"/>
    <s v="45.289275"/>
    <s v="Centre ville"/>
    <d v="2025-01-01T00:00:00"/>
    <d v="2025-01-01T00:00:00"/>
    <s v="Franchisee"/>
    <s v="VALUESTATE HOTELS BERLIN GMBH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6"/>
    <s v="IBIS BUDGET VERSAILLES FORUM"/>
    <x v="4"/>
    <s v="16/08/1995"/>
    <n v="50"/>
    <x v="0"/>
    <s v="9 RUE DU GIBET"/>
    <s v="FORUM DE COIGNIÈRES"/>
    <s v="-"/>
    <x v="332"/>
    <s v="COIGNIERES"/>
    <s v="1.933315"/>
    <s v="48.754265"/>
    <s v="Centre ville"/>
    <d v="2025-01-01T00:00:00"/>
    <d v="2025-01-01T00:00:00"/>
    <s v="Franchisee"/>
    <s v="MOHAMED BECHROUNE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8"/>
    <s v="IBIS BUDGET CHAMBERY CENTRE"/>
    <x v="4"/>
    <s v="16/05/1995"/>
    <n v="61"/>
    <x v="0"/>
    <s v="391 AVENUE ALSACE LORRAINE"/>
    <s v="-"/>
    <s v="-"/>
    <x v="96"/>
    <s v="CHAMBERY"/>
    <s v="5.910488"/>
    <s v="45.575929"/>
    <s v="Centre ville"/>
    <d v="2025-01-01T00:00:00"/>
    <d v="2025-01-01T00:00:00"/>
    <s v="Franchisee"/>
    <s v="VALUESTATE HOTELS BERLIN GMBH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49"/>
    <s v="IBIS BUDGET AIX LE CANET"/>
    <x v="4"/>
    <s v="01/07/1994"/>
    <n v="68"/>
    <x v="0"/>
    <s v="ROND POINT DU CANET"/>
    <s v="IMPASSE DES CARRÉS DE L'ARC"/>
    <s v="-"/>
    <x v="333"/>
    <s v="MEYREUIL"/>
    <s v="5.526029"/>
    <s v="43.491677"/>
    <s v="Centre ville"/>
    <d v="2025-01-01T00:00:00"/>
    <d v="2025-01-01T00:00:00"/>
    <s v="Franchisee"/>
    <s v="ACCORINVEST FRANCE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50"/>
    <s v="IBIS BUDGET FREJUS ST RAPHAEL A8"/>
    <x v="4"/>
    <s v="02/08/1994"/>
    <n v="75"/>
    <x v="0"/>
    <s v="ZI CAPITOU"/>
    <s v="1335 AVENUE JEAN LACHENAUD"/>
    <s v="-"/>
    <x v="334"/>
    <s v="FREJUS"/>
    <s v="6.734769"/>
    <s v="43.469958"/>
    <s v="Centre ville"/>
    <d v="2025-01-01T00:00:00"/>
    <d v="2025-01-01T00:00:00"/>
    <s v="Franchisee"/>
    <s v="CASTELLET HOSPITALITY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53"/>
    <s v="IBIS BUDGET BLOIS CENTRE"/>
    <x v="4"/>
    <s v="02/03/1986"/>
    <n v="50"/>
    <x v="0"/>
    <s v="4 RUE JEAN MOULIN"/>
    <s v="-"/>
    <s v="-"/>
    <x v="176"/>
    <s v="BLOIS"/>
    <s v="1.328023"/>
    <s v="47.587468"/>
    <s v="Centre ville"/>
    <d v="2025-01-01T00:00:00"/>
    <d v="2025-01-01T00:00:00"/>
    <s v="Franchisee"/>
    <s v="MY HOTELS GESTION"/>
    <s v="Bruno COQUAZ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2554"/>
    <s v="IBIS BUDGET ANGOULEME CENTRE"/>
    <x v="4"/>
    <s v="01/06/1995"/>
    <n v="44"/>
    <x v="4"/>
    <s v="179 AVENUE GAMBETTA"/>
    <s v="ANGLE RUE DE L'EPERON"/>
    <s v="-"/>
    <x v="233"/>
    <s v="ANGOULEME"/>
    <s v="0.161198"/>
    <s v="45.650344"/>
    <s v="Centre ville"/>
    <d v="2025-01-01T00:00:00"/>
    <d v="2025-01-01T00:00:00"/>
    <s v="Franchisee"/>
    <s v="DENIS FAUQUE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55"/>
    <s v="IBIS BUDGET BIARRITZ ANGLET"/>
    <x v="4"/>
    <s v="01/04/1997"/>
    <n v="84"/>
    <x v="0"/>
    <s v="70 AVENUE D'ESPAGNE"/>
    <s v="RN 10"/>
    <s v="-"/>
    <x v="159"/>
    <s v="ANGLET"/>
    <s v="-1.526513"/>
    <s v="43.476689"/>
    <s v="Centre ville"/>
    <d v="2025-01-01T00:00:00"/>
    <d v="2025-01-01T00:00:00"/>
    <s v="Franchisee"/>
    <s v="FAMILLE SEGERIC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57"/>
    <s v="IBIS BUDGET DEAUVILLE"/>
    <x v="4"/>
    <s v="01/01/1997"/>
    <n v="75"/>
    <x v="0"/>
    <s v="AVENUE M. D'ORNANO"/>
    <s v="-"/>
    <s v="-"/>
    <x v="149"/>
    <s v="DEAUVILLE"/>
    <s v="0.085015"/>
    <s v="49.345489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58"/>
    <s v="IBIS BUDGET LYON VILLEFRANCHE"/>
    <x v="4"/>
    <s v="03/01/1996"/>
    <n v="47"/>
    <x v="4"/>
    <s v="163 ALLÉE DU RIOTTIER"/>
    <s v="LE PÉAGE-LIMAS"/>
    <s v="-"/>
    <x v="113"/>
    <s v="LIMAS"/>
    <s v="4.738955"/>
    <s v="45.975914"/>
    <s v="Centre ville"/>
    <d v="2025-01-01T00:00:00"/>
    <d v="2025-01-01T00:00:00"/>
    <s v="Franchisee"/>
    <s v="PPG AUXERRE - ANTOINE DHENIN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59"/>
    <s v="IBIS BUDGET PARIS PTE D ORLEANS"/>
    <x v="4"/>
    <s v="22/04/1996"/>
    <n v="171"/>
    <x v="3"/>
    <s v="15 - 21 BOULEVARD ROMAIN ROLLAND"/>
    <s v="-"/>
    <s v="-"/>
    <x v="9"/>
    <s v="PARIS"/>
    <s v="2.325959"/>
    <s v="48.819779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60"/>
    <s v="IBIS BUDGET RAMBOUILLET"/>
    <x v="4"/>
    <s v="11/04/1996"/>
    <n v="45"/>
    <x v="4"/>
    <s v="ZA DU BEL AIR"/>
    <s v="RUE JOSEPH JACQUARD"/>
    <s v="-"/>
    <x v="121"/>
    <s v="RAMBOUILLET"/>
    <s v="1.829188"/>
    <s v="48.623653"/>
    <s v="Centre ville"/>
    <d v="2025-01-01T00:00:00"/>
    <d v="2025-01-01T00:00:00"/>
    <s v="Franchisee"/>
    <s v="MATHIEU MOLINARI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64"/>
    <s v="IBIS BUDGET CHARTRES"/>
    <x v="4"/>
    <s v="05/01/1996"/>
    <n v="48"/>
    <x v="4"/>
    <s v="AVENUE FRANÇOIS ARAGO"/>
    <s v="STATION SERVICE TOTAL"/>
    <s v="-"/>
    <x v="50"/>
    <s v="CHARTRES"/>
    <s v="1.521499"/>
    <s v="48.436625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67"/>
    <s v="IBIS BUDGET VERSAILLES CHATEAU"/>
    <x v="4"/>
    <s v="05/01/1996"/>
    <n v="48"/>
    <x v="4"/>
    <s v="4 BOULEVARD HENRI BARBUSSE"/>
    <s v="EPI D'OR"/>
    <s v="-"/>
    <x v="335"/>
    <s v="SAINT CYR L'ECOLE"/>
    <s v="2.069477"/>
    <s v="48.79444"/>
    <s v="Centre ville"/>
    <d v="2025-01-01T00:00:00"/>
    <d v="2025-01-01T00:00:00"/>
    <s v="Franchisee"/>
    <s v="GILLES DE CHATELLUS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68"/>
    <s v="IBIS BUDGET ROUEN SUD ZENITH"/>
    <x v="4"/>
    <s v="03/03/1996"/>
    <n v="68"/>
    <x v="0"/>
    <s v="29 AVENUE MARYSE BASTIÉ"/>
    <s v="AVENUE CANADIENS"/>
    <s v="-"/>
    <x v="63"/>
    <s v="SAINT ETIENNE DU ROUVRAY"/>
    <s v="1.059471"/>
    <s v="49.392124"/>
    <s v="Centre ville"/>
    <d v="2025-01-01T00:00:00"/>
    <d v="2025-01-01T00:00:00"/>
    <s v="Franchisee"/>
    <s v="GROUPE SD2P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0"/>
    <s v="IBIS BUDGET TARBES"/>
    <x v="4"/>
    <s v="24/02/1997"/>
    <n v="53"/>
    <x v="0"/>
    <s v="BOULEVARD KENNEDY"/>
    <s v="ROND-POINT MAURICE TRÉLUT"/>
    <s v="-"/>
    <x v="336"/>
    <s v="TARBES"/>
    <s v="0.078504"/>
    <s v="43.219509"/>
    <s v="Centre ville"/>
    <d v="2025-01-01T00:00:00"/>
    <d v="2025-01-01T00:00:00"/>
    <s v="Franchisee"/>
    <s v="HONPO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1"/>
    <s v="IBIS BUDGET COMPIEGNE CENTRE"/>
    <x v="4"/>
    <s v="18/06/1996"/>
    <n v="50"/>
    <x v="0"/>
    <s v="1 RUE PIERRE SAUVAGE"/>
    <s v="-"/>
    <s v="-"/>
    <x v="123"/>
    <s v="COMPIEGNE"/>
    <s v="2.82532"/>
    <s v="49.4196"/>
    <s v="Centre ville"/>
    <d v="2025-01-01T00:00:00"/>
    <d v="2025-01-01T00:00:00"/>
    <s v="Franchisee"/>
    <s v="GUILLAUME WALOSZEK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2"/>
    <s v="IBIS BUDGET NARBONNE SUD"/>
    <x v="4"/>
    <s v="23/09/1997"/>
    <n v="42"/>
    <x v="4"/>
    <s v="RUE BECQUEREL"/>
    <s v="ZI DE LA COUPE"/>
    <s v="-"/>
    <x v="49"/>
    <s v="NARBONNE"/>
    <s v="2.978293"/>
    <s v="43.153368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3"/>
    <s v="IBIS BUDGET VILLEMOMBLE"/>
    <x v="4"/>
    <s v="02/10/1997"/>
    <n v="78"/>
    <x v="0"/>
    <s v="14 ALLÉE DU PLATEAU"/>
    <s v="ZAC LA GARENNE"/>
    <s v="-"/>
    <x v="337"/>
    <s v="VILLEMOMBLE"/>
    <s v="2.500466"/>
    <s v="48.880308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4"/>
    <s v="IBIS BUDGET CAEN HEROUVILLE"/>
    <x v="4"/>
    <s v="09/01/1997"/>
    <n v="47"/>
    <x v="4"/>
    <s v="BOULEVARD DU BOIS"/>
    <s v="IMPASSE DES ORMES"/>
    <s v="-"/>
    <x v="94"/>
    <s v="HEROUVILLE SAINT CLAIR"/>
    <s v="-0.323859"/>
    <s v="49.209156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5"/>
    <s v="IBIS BUDGET MARSEILLE VIEUX PORT"/>
    <x v="4"/>
    <s v="01/04/1997"/>
    <n v="147"/>
    <x v="1"/>
    <s v="46 RUE SAINTE"/>
    <s v="-"/>
    <s v="-"/>
    <x v="222"/>
    <s v="MARSEILLE"/>
    <s v="5.373801"/>
    <s v="43.292195"/>
    <s v="Centre ville"/>
    <d v="2025-01-01T00:00:00"/>
    <d v="2025-01-01T00:00:00"/>
    <s v="Franchisee"/>
    <s v="FAMILLE PHILIP"/>
    <s v="Alexandra LAUNAY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2576"/>
    <s v="IBIS BUDGET BORDEAUX CENTRE"/>
    <x v="4"/>
    <s v="01/03/1997"/>
    <n v="109"/>
    <x v="1"/>
    <s v="37 COURS DU MARECHAL JUIN"/>
    <s v="-"/>
    <s v="-"/>
    <x v="186"/>
    <s v="BORDEAUX"/>
    <s v="-0.583489"/>
    <s v="44.836014"/>
    <s v="Centre ville"/>
    <d v="2025-01-01T00:00:00"/>
    <d v="2025-01-01T00:00:00"/>
    <s v="Franchisee"/>
    <s v="FAMILLE FARINES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8"/>
    <s v="IBIS BUDGET ROUEN NORD"/>
    <x v="4"/>
    <s v="01/04/1997"/>
    <n v="63"/>
    <x v="0"/>
    <s v="140 ALLÉE DU MONT PERREUX"/>
    <s v="PLAINE DE LA RONCE 2"/>
    <s v="-"/>
    <x v="338"/>
    <s v="ROUEN"/>
    <s v="1.144799"/>
    <s v="49.491246"/>
    <s v="Centre ville"/>
    <d v="2025-01-01T00:00:00"/>
    <d v="2025-01-01T00:00:00"/>
    <s v="Franchisee"/>
    <s v="VALERIE REBEIX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79"/>
    <s v="IBIS BUDGET NICE AEROPORT"/>
    <x v="4"/>
    <s v="01/03/1997"/>
    <n v="151"/>
    <x v="3"/>
    <s v="455 PROMENADE DES ANGLAIS"/>
    <s v="CEDEX"/>
    <s v="-"/>
    <x v="84"/>
    <s v="NICE"/>
    <s v="7.214006"/>
    <s v="43.667244"/>
    <s v="Centre ville"/>
    <d v="2025-01-01T00:00:00"/>
    <d v="2025-01-01T00:00:00"/>
    <s v="Franchisee"/>
    <s v="FAMILLE FARINES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81"/>
    <s v="IBIS BUDGET LILLE RONCHIN"/>
    <x v="4"/>
    <s v="01/08/1997"/>
    <n v="54"/>
    <x v="0"/>
    <s v="104 RUE LOUIS BRAILLE"/>
    <s v="-"/>
    <s v="-"/>
    <x v="339"/>
    <s v="RONCHIN"/>
    <s v="3.097159"/>
    <s v="50.604641"/>
    <s v="Centre ville"/>
    <d v="2025-01-01T00:00:00"/>
    <d v="2025-01-01T00:00:00"/>
    <s v="Franchisee"/>
    <s v="MICHEL RUFIN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82"/>
    <s v="IBIS BUDGET MONTPELLIER SUD"/>
    <x v="4"/>
    <s v="01/07/1997"/>
    <n v="65"/>
    <x v="0"/>
    <s v="164 AVENUE DE PALAVAS"/>
    <s v="-"/>
    <s v="-"/>
    <x v="75"/>
    <s v="MONTPELLIER"/>
    <s v="3.891797"/>
    <s v="43.589364"/>
    <s v="Centre ville"/>
    <d v="2025-01-01T00:00:00"/>
    <d v="2025-01-01T00:00:00"/>
    <s v="Franchisee"/>
    <s v="FAMILLE FARINES"/>
    <s v="Jean-Claude FOUCHET"/>
    <x v="0"/>
    <n v="1.5"/>
    <n v="0.7"/>
    <s v="January"/>
    <n v="0.6"/>
    <s v="August"/>
    <n v="0.8"/>
    <x v="1"/>
    <x v="0"/>
    <s v="No"/>
    <s v="Yes"/>
    <n v="1"/>
    <s v="-"/>
    <n v="0"/>
    <s v="-"/>
    <n v="0.5"/>
    <n v="0.5"/>
    <n v="0.4"/>
    <n v="0.6"/>
  </r>
  <r>
    <s v="H2583"/>
    <s v="IBIS BUDGET PAU LESCAR"/>
    <x v="4"/>
    <s v="02/04/1997"/>
    <n v="54"/>
    <x v="0"/>
    <s v="1 RUE DU BILAA"/>
    <s v="-"/>
    <s v="-"/>
    <x v="55"/>
    <s v="LESCAR"/>
    <s v="-0.421907"/>
    <s v="43.324096"/>
    <s v="Centre ville"/>
    <d v="2025-01-01T00:00:00"/>
    <d v="2025-01-01T00:00:00"/>
    <s v="Franchisee"/>
    <s v="HOTELINA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84"/>
    <s v="IBIS BUDGET TOULOUSE CENTRE GARE"/>
    <x v="4"/>
    <s v="01/12/1982"/>
    <n v="130"/>
    <x v="1"/>
    <s v="27 BOULEVARD DES MINIMES"/>
    <s v="-"/>
    <s v="-"/>
    <x v="340"/>
    <s v="TOULOUSE"/>
    <s v="1.44492"/>
    <s v="43.615608"/>
    <s v="Centre ville"/>
    <d v="2025-01-01T00:00:00"/>
    <d v="2025-01-01T00:00:00"/>
    <s v="Franchisee"/>
    <s v="GROUPE COVIVIO"/>
    <s v="Hubert VANQUATHEM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2585"/>
    <s v="IBIS BUDGET PARIS PTE BAGNOLET"/>
    <x v="4"/>
    <s v="22/09/1997"/>
    <n v="231"/>
    <x v="6"/>
    <s v="3 RUE JEAN JAURÈS"/>
    <s v="-"/>
    <s v="-"/>
    <x v="108"/>
    <s v="BAGNOLET"/>
    <s v="2.417342"/>
    <s v="48.866346"/>
    <s v="Centre ville"/>
    <d v="2025-01-01T00:00:00"/>
    <d v="2025-01-01T00:00:00"/>
    <s v="Managed"/>
    <s v="ACCORINVEST FRANCE"/>
    <s v="Thibault FREMON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86"/>
    <s v="IBIS BUDGET ALBERTVILLE"/>
    <x v="4"/>
    <s v="01/01/1991"/>
    <n v="80"/>
    <x v="0"/>
    <s v="144 AVENUE GEORGES POMPIDOU"/>
    <s v="-"/>
    <s v="-"/>
    <x v="341"/>
    <s v="ALBERTVILLE"/>
    <s v="6.358105"/>
    <s v="45.654899"/>
    <s v="Centre ville"/>
    <d v="2025-01-01T00:00:00"/>
    <d v="2025-01-01T00:00:00"/>
    <s v="Franchisee"/>
    <s v="GRAPE HOSPITALITY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87"/>
    <s v="IBIS BUDGET PARIS PORTE DE BERCY"/>
    <x v="4"/>
    <s v="01/01/1998"/>
    <n v="234"/>
    <x v="6"/>
    <s v="2 PLACE DE L'EUROPE"/>
    <s v="PARIS BERCY 2"/>
    <s v="-"/>
    <x v="307"/>
    <s v="CHARENTON LE PONT"/>
    <s v="2.394166"/>
    <s v="48.825304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1"/>
    <x v="0"/>
    <s v="No"/>
    <s v="Yes"/>
    <n v="7"/>
    <s v="-"/>
    <n v="0"/>
    <s v="-"/>
    <n v="0.5"/>
    <n v="0.5"/>
    <n v="0.4"/>
    <n v="0.6"/>
  </r>
  <r>
    <s v="H2588"/>
    <s v="IBIS BUDGET POITIERS SUD"/>
    <x v="4"/>
    <s v="22/03/1997"/>
    <n v="65"/>
    <x v="0"/>
    <s v="CHEMIN DE LA PAILLERIE"/>
    <s v="AVENUE DU 08 MAI 1945"/>
    <s v="-"/>
    <x v="116"/>
    <s v="POITIERS"/>
    <s v="0.303983"/>
    <s v="46.55054"/>
    <s v="Centre ville"/>
    <d v="2025-01-01T00:00:00"/>
    <d v="2025-01-01T00:00:00"/>
    <s v="Franchisee"/>
    <s v="JEAN-LUC MOTOT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89"/>
    <s v="IBIS BUDGET AUBENAS"/>
    <x v="4"/>
    <s v="03/07/1997"/>
    <n v="56"/>
    <x v="0"/>
    <s v="42 ROUTE DE MONTÉLIMAR"/>
    <s v="-"/>
    <s v="-"/>
    <x v="275"/>
    <s v="AUBENAS"/>
    <s v="4.404359"/>
    <s v="44.615013"/>
    <s v="Centre ville"/>
    <d v="2025-01-01T00:00:00"/>
    <d v="2025-01-01T00:00:00"/>
    <s v="Franchisee"/>
    <s v="FAMILLE NOGIER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93"/>
    <s v="IBIS BUDGET LYON ST GENIS LAVAL"/>
    <x v="4"/>
    <s v="08/09/1997"/>
    <n v="57"/>
    <x v="0"/>
    <s v="165 ROUTES DES VOURLES"/>
    <s v="-"/>
    <s v="-"/>
    <x v="342"/>
    <s v="SAINT GENINS"/>
    <s v="4.787393"/>
    <s v="45.676691"/>
    <s v="Centre ville"/>
    <d v="2025-01-01T00:00:00"/>
    <d v="2025-01-01T00:00:00"/>
    <s v="Franchisee"/>
    <s v="SO ECO GESTION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94"/>
    <s v="IBIS BUDGET NANCY PORTE SUD"/>
    <x v="4"/>
    <s v="13/10/1997"/>
    <n v="84"/>
    <x v="0"/>
    <s v="6 ALLÉE DE LA GENELIÈRE"/>
    <s v="ZA FROCOURT"/>
    <s v="-"/>
    <x v="47"/>
    <s v="HOUDEMONT"/>
    <s v="6.184279"/>
    <s v="48.638756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95"/>
    <s v="IBIS BUDGET POITIERS FUTUROSCOPE"/>
    <x v="4"/>
    <s v="10/07/1998"/>
    <n v="80"/>
    <x v="0"/>
    <s v="50 ALLÉE DU HAUT POITOU"/>
    <s v="-"/>
    <s v="-"/>
    <x v="228"/>
    <s v="POITIERS"/>
    <s v="0.364073"/>
    <s v="46.653091"/>
    <s v="Centre ville"/>
    <d v="2025-01-01T00:00:00"/>
    <d v="2025-01-01T00:00:00"/>
    <s v="Franchisee"/>
    <s v="GAEL MEUNIER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96"/>
    <s v="IBIS BUDGET ISSY LES MOULINEAUX"/>
    <x v="4"/>
    <s v="31/10/1997"/>
    <n v="157"/>
    <x v="3"/>
    <s v="12 RUE JACQUES-HENRI LARTIGUE"/>
    <s v="ZAC GARIBALDI"/>
    <s v="-"/>
    <x v="253"/>
    <s v="ISSY LES MOULINEAUX"/>
    <s v="2.260404"/>
    <s v="48.823917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97"/>
    <s v="IBIS BUDGET PARIS PTE MONTMARTRE"/>
    <x v="4"/>
    <s v="23/01/1998"/>
    <n v="464"/>
    <x v="2"/>
    <s v="45 RUE DU DOCTEUR BABINSKI"/>
    <s v="-"/>
    <s v="-"/>
    <x v="21"/>
    <s v="PARIS"/>
    <s v="2.334104"/>
    <s v="48.901021"/>
    <s v="Centre ville"/>
    <d v="2025-01-01T00:00:00"/>
    <d v="2025-01-01T00:00:00"/>
    <s v="Managed"/>
    <s v="ACCORINVEST FRANCE"/>
    <s v="Laurence PEREIRA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599"/>
    <s v="IBIS BUDGET ORLEANS NORD SARAN"/>
    <x v="4"/>
    <s v="01/05/1997"/>
    <n v="69"/>
    <x v="0"/>
    <s v="ORLEANS NORD SARAN"/>
    <s v="RUE DE L'ORMETEAU"/>
    <s v="-"/>
    <x v="343"/>
    <s v="SARAN"/>
    <s v="1.892702"/>
    <s v="47.944584"/>
    <s v="Centre ville"/>
    <d v="2025-01-01T00:00:00"/>
    <d v="2025-01-01T00:00:00"/>
    <s v="Franchisee"/>
    <s v="GROUPE DERET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1"/>
    <s v="IBIS BUDGET CANNES MOUGINS"/>
    <x v="4"/>
    <s v="29/01/1998"/>
    <n v="64"/>
    <x v="0"/>
    <s v="245 CHEMIN DU BELVÉDÈRE"/>
    <s v="-"/>
    <s v="-"/>
    <x v="344"/>
    <s v="MOUGINS"/>
    <s v="7.007673"/>
    <s v="43.586208"/>
    <s v="Centre ville"/>
    <d v="2025-01-01T00:00:00"/>
    <d v="2025-01-01T00:00:00"/>
    <s v="Managed"/>
    <s v="ACCORINVEST FRANCE"/>
    <s v="Philippe DUCROCQ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2"/>
    <s v="IBIS BUDGET PARIS PTE DE VANVES"/>
    <x v="4"/>
    <s v="04/11/1998"/>
    <n v="102"/>
    <x v="1"/>
    <s v="110 RUE JEAN BLEUZEN"/>
    <s v="-"/>
    <s v="-"/>
    <x v="23"/>
    <s v="VANVES"/>
    <s v="2.298812"/>
    <s v="48.824234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3"/>
    <s v="IBIS BUDGET AVIGNON CENTRE"/>
    <x v="4"/>
    <s v="01/01/1999"/>
    <n v="108"/>
    <x v="1"/>
    <s v="8 BD ST DOMINIQUE"/>
    <s v="-"/>
    <s v="-"/>
    <x v="42"/>
    <s v="AVIGNON"/>
    <s v="4.798147"/>
    <s v="43.943729"/>
    <s v="Centre ville"/>
    <d v="2025-01-01T00:00:00"/>
    <d v="2025-01-01T00:00:00"/>
    <s v="Franchisee"/>
    <s v="FAMILLE AOUATE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4"/>
    <s v="IBIS BUDGET CAEN NORD MEMORIAL"/>
    <x v="4"/>
    <s v="11/07/1998"/>
    <n v="50"/>
    <x v="0"/>
    <s v="ZA LE CLOS BARBEY"/>
    <s v="-"/>
    <s v="-"/>
    <x v="345"/>
    <s v="CAEN"/>
    <s v="-0.398114"/>
    <s v="49.199637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5"/>
    <s v="IBIS BUDGET DAX ST PAUL LES DAX"/>
    <x v="4"/>
    <s v="02/02/1998"/>
    <n v="74"/>
    <x v="0"/>
    <s v="ROUTE DE BAYONNE"/>
    <s v="2128 AVENUE DE LA RÉSISTANCE"/>
    <s v="-"/>
    <x v="346"/>
    <s v="DAX"/>
    <s v="-1.077299"/>
    <s v="43.726772"/>
    <s v="Centre ville"/>
    <d v="2025-01-01T00:00:00"/>
    <d v="2025-01-01T00:00:00"/>
    <s v="Franchisee"/>
    <s v="HOTELINA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6"/>
    <s v="IBIS BUDGET DOMMARTIN CUISEAUX"/>
    <x v="4"/>
    <s v="03/06/1998"/>
    <n v="30"/>
    <x v="4"/>
    <s v="AIRE DU POULET DE BRESSE"/>
    <s v="A39"/>
    <s v="-"/>
    <x v="347"/>
    <s v="DOMMARTIN LES CUISEAUX"/>
    <s v="5.31208"/>
    <s v="46.495365"/>
    <s v="Centre ville"/>
    <d v="2025-01-01T00:00:00"/>
    <d v="2025-01-01T00:00:00"/>
    <s v="Franchisee"/>
    <s v="AREAS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7"/>
    <s v="IBIS BUDGET CAEN MONDEVILLE"/>
    <x v="4"/>
    <s v="20/07/1994"/>
    <n v="64"/>
    <x v="0"/>
    <s v="1 RUE JACQUARD"/>
    <s v="RUE JOSEPH JACQUARD"/>
    <s v="RN 13"/>
    <x v="348"/>
    <s v="MONDEVILLE"/>
    <s v="-0.300558"/>
    <s v="49.161965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08"/>
    <s v="IBIS BUDGET ROUEN PETIT QUEVILLY"/>
    <x v="4"/>
    <s v="01/01/1999"/>
    <n v="75"/>
    <x v="0"/>
    <s v="PLACE WALDECK ROUSSEAU"/>
    <s v="-"/>
    <s v="-"/>
    <x v="349"/>
    <s v="ROUEN"/>
    <s v="1.055819"/>
    <s v="49.425539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10"/>
    <s v="IBIS BUDGET MENTON"/>
    <x v="4"/>
    <s v="12/08/1998"/>
    <n v="67"/>
    <x v="0"/>
    <s v="57 AVENUE PORTE DE FRANCE"/>
    <s v="-"/>
    <s v="-"/>
    <x v="350"/>
    <s v="MENTON"/>
    <s v="7.517504"/>
    <s v="43.78442"/>
    <s v="Centre ville"/>
    <d v="2025-01-01T00:00:00"/>
    <d v="2025-01-01T00:00:00"/>
    <s v="Franchisee"/>
    <s v="ROLAND ARIZA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11"/>
    <s v="IBIS BUDGET TOURS NORD"/>
    <x v="4"/>
    <s v="23/05/2010"/>
    <n v="84"/>
    <x v="0"/>
    <s v="7 RUE DE L'AVIATION"/>
    <s v="ZI DE LA MILLETIÈRE"/>
    <s v="-"/>
    <x v="119"/>
    <s v="TOURS"/>
    <s v="0.708585"/>
    <s v="47.437458"/>
    <s v="Centre ville"/>
    <d v="2025-01-01T00:00:00"/>
    <d v="2025-01-01T00:00:00"/>
    <s v="Franchisee"/>
    <s v="BOISSEE FINANCES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612"/>
    <s v="IBIS BUDGET QUIMPER"/>
    <x v="4"/>
    <s v="07/01/1999"/>
    <n v="48"/>
    <x v="4"/>
    <s v="4 ALLÉE GEORGES LACOMBE"/>
    <s v="ZA DU GUÉLEN"/>
    <s v="-"/>
    <x v="111"/>
    <s v="QUIMPER"/>
    <s v="-4.033239"/>
    <s v="47.979433"/>
    <s v="Centre ville"/>
    <d v="2025-01-01T00:00:00"/>
    <d v="2025-01-01T00:00:00"/>
    <s v="Franchisee"/>
    <s v="OLIVIER SAVOUREL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2"/>
    <s v="IBIS BUDGET SAINT MAURICE"/>
    <x v="4"/>
    <s v="15/04/1999"/>
    <n v="88"/>
    <x v="0"/>
    <s v="252 RUE DU MARÉCHAL LECLERC"/>
    <s v="ZAC VIVENDI/ OTV"/>
    <s v="-"/>
    <x v="351"/>
    <s v="SAINT MAURICE"/>
    <s v="2.459032"/>
    <s v="48.815953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3"/>
    <s v="IBIS BUDGET VITRY SUR SEINE N7"/>
    <x v="4"/>
    <s v="17/05/1999"/>
    <n v="48"/>
    <x v="4"/>
    <s v="160 RUE JULIAN-GRIMAU"/>
    <s v="-"/>
    <s v="-"/>
    <x v="352"/>
    <s v="VITRY SUR SEINE"/>
    <s v="2.375907"/>
    <s v="48.778587"/>
    <s v="Centre ville"/>
    <d v="2025-01-01T00:00:00"/>
    <d v="2025-01-01T00:00:00"/>
    <s v="Franchisee"/>
    <s v="ACCORINVEST FRANCE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4"/>
    <s v="IBIS BUDGET PERIGUEUX CENTRE"/>
    <x v="4"/>
    <s v="02/07/1999"/>
    <n v="49"/>
    <x v="4"/>
    <s v="33 RUE DU PRÉSIDENT WILSON"/>
    <s v="-"/>
    <s v="-"/>
    <x v="110"/>
    <s v="PERIGUEUX"/>
    <s v="0.715127"/>
    <s v="45.184464"/>
    <s v="Centre ville"/>
    <d v="2025-01-01T00:00:00"/>
    <d v="2025-01-01T00:00:00"/>
    <s v="Franchisee"/>
    <s v="JEROME GUIMBAUD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5"/>
    <s v="IBIS BUDGET FECAMP"/>
    <x v="4"/>
    <s v="09/07/1999"/>
    <n v="75"/>
    <x v="0"/>
    <s v="1 BOULEVARD SUZANNE CLÉMENT"/>
    <s v="-"/>
    <s v="-"/>
    <x v="353"/>
    <s v="FECAMP"/>
    <s v="0.394778"/>
    <s v="49.752585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6"/>
    <s v="IBIS BUDGET HONFLEUR CENTRE"/>
    <x v="4"/>
    <s v="28/06/1999"/>
    <n v="63"/>
    <x v="0"/>
    <s v="2 RUE DES VASES"/>
    <s v="-"/>
    <s v="-"/>
    <x v="200"/>
    <s v="HONFLEUR"/>
    <s v="0.238116"/>
    <s v="49.4184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7"/>
    <s v="IBIS BUDGET ANTONY MASSY"/>
    <x v="4"/>
    <s v="17/05/1999"/>
    <n v="78"/>
    <x v="0"/>
    <s v="11 RUE MARCELIN BERTHELOT"/>
    <s v="Z.I DU VAULORIN"/>
    <s v="-"/>
    <x v="354"/>
    <s v="ANTONY"/>
    <s v="2.31538"/>
    <s v="48.7359"/>
    <s v="Centre ville"/>
    <d v="2025-01-01T00:00:00"/>
    <d v="2025-01-01T00:00:00"/>
    <s v="Franchisee"/>
    <s v="BOUCLET - MOUCHONNE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8"/>
    <s v="IBIS BUDGET CAVAILLON"/>
    <x v="4"/>
    <s v="29/04/1999"/>
    <n v="47"/>
    <x v="4"/>
    <s v="175 AVENUE DU PONT"/>
    <s v="-"/>
    <s v="-"/>
    <x v="297"/>
    <s v="CAVAILLON"/>
    <s v="5.03651"/>
    <s v="43.830001"/>
    <s v="Centre ville"/>
    <d v="2025-01-01T00:00:00"/>
    <d v="2025-01-01T00:00:00"/>
    <s v="Franchisee"/>
    <s v="CASTELLET HOSPITALITY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19"/>
    <s v="IBIS BUDGET LORIENT HENNEBONT"/>
    <x v="4"/>
    <s v="09/07/1999"/>
    <n v="60"/>
    <x v="0"/>
    <s v="ALLÉE DE LA VILLENEUVE PARCO"/>
    <s v="Z.A. DU PARCO"/>
    <s v="-"/>
    <x v="355"/>
    <s v="LORIENT"/>
    <s v="-3.2759857"/>
    <s v="47.7899061"/>
    <s v="Centre ville"/>
    <d v="2025-01-01T00:00:00"/>
    <d v="2025-01-01T00:00:00"/>
    <s v="Franchisee"/>
    <s v="OLIVIER SAVOUREL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20"/>
    <s v="IBIS BUDGET FONTAINEBLEAU AVON"/>
    <x v="4"/>
    <s v="31/05/1999"/>
    <n v="75"/>
    <x v="0"/>
    <s v="46 AVENUE FRANKLIN ROOSEVELT"/>
    <s v="-"/>
    <s v="-"/>
    <x v="356"/>
    <s v="AVON"/>
    <s v="2.722152"/>
    <s v="48.415936"/>
    <s v="Centre ville"/>
    <d v="2025-01-01T00:00:00"/>
    <d v="2025-01-01T00:00:00"/>
    <s v="Franchisee"/>
    <s v="C.F.H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21"/>
    <s v="IBIS BUDGET BEZIERS MEDITERRANEE"/>
    <x v="4"/>
    <s v="01/03/1999"/>
    <n v="42"/>
    <x v="4"/>
    <s v="ECHANGEUR CABRIALS"/>
    <s v="AVENUE DU VIGUIER"/>
    <s v="-"/>
    <x v="118"/>
    <s v="BEZIERS"/>
    <s v="3.278611"/>
    <s v="43.335278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22"/>
    <s v="IBIS BUDGET HYERES CENTRE VILLE"/>
    <x v="4"/>
    <s v="31/07/1999"/>
    <n v="74"/>
    <x v="0"/>
    <s v="14 AV. 1ÈRE DIVISION BROSSET"/>
    <s v="-"/>
    <s v="-"/>
    <x v="208"/>
    <s v="HYERES"/>
    <s v="6.140017"/>
    <s v="43.120281"/>
    <s v="Centre ville"/>
    <d v="2025-01-01T00:00:00"/>
    <d v="2025-01-01T00:00:00"/>
    <s v="Franchisee"/>
    <s v="FAMILLE PERRACHE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24"/>
    <s v="IBIS BUDGET THIERS"/>
    <x v="4"/>
    <s v="09/09/1999"/>
    <n v="42"/>
    <x v="4"/>
    <s v="84 AVENUE DU GÉNÉRAL DE GAULLE"/>
    <s v="RN 89"/>
    <s v="-"/>
    <x v="357"/>
    <s v="THIERS"/>
    <s v="3.508602"/>
    <s v="45.840948"/>
    <s v="Centre ville"/>
    <d v="2025-01-01T00:00:00"/>
    <d v="2025-01-01T00:00:00"/>
    <s v="Franchisee"/>
    <s v="ROSE LAKOUSSAN AFIAVI"/>
    <s v="Jean-Claude FOUCHE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2730"/>
    <s v="IBIS STYLES PARIS GARE EST"/>
    <x v="2"/>
    <s v="20/01/1980"/>
    <n v="163"/>
    <x v="3"/>
    <s v="1 ET 3  RUE DE CHÂTEAU LANDON"/>
    <s v="-"/>
    <s v="-"/>
    <x v="144"/>
    <s v="PARIS"/>
    <s v="2.362408"/>
    <s v="48.878845"/>
    <s v="Centre ville"/>
    <d v="2025-01-01T00:00:00"/>
    <d v="2025-01-01T00:00:00"/>
    <s v="Managed"/>
    <s v="ACCORINVEST FRANCE"/>
    <s v="Thibault FREMON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737"/>
    <s v="IBIS GRENOBLE GARE"/>
    <x v="0"/>
    <s v="01/04/1979"/>
    <n v="36"/>
    <x v="4"/>
    <s v="27 QUAI CLAUDE BERNARD"/>
    <s v="-"/>
    <s v="-"/>
    <x v="99"/>
    <s v="GRENOBLE"/>
    <s v="5.717319"/>
    <s v="45.192945"/>
    <s v="Centre ville"/>
    <d v="2025-01-01T00:00:00"/>
    <d v="2025-01-01T00:00:00"/>
    <s v="Franchisee"/>
    <s v="GERARD TERRONE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738"/>
    <s v="IBIS STYLES ARLES"/>
    <x v="2"/>
    <s v="01/04/1974"/>
    <n v="80"/>
    <x v="0"/>
    <s v="AVENUE  DE LA PREMIÈRE"/>
    <s v="DIVISION FRANÇAISE LIBRE"/>
    <s v="-"/>
    <x v="124"/>
    <s v="ARLES"/>
    <s v="4.619171"/>
    <s v="43.670944"/>
    <s v="Centre ville"/>
    <d v="2025-01-01T00:00:00"/>
    <d v="2025-01-01T00:00:00"/>
    <s v="Franchisee"/>
    <s v="SOMNOO"/>
    <s v="Alexandra LAUNAY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2748"/>
    <s v="IBIS RODEZ CENTRE"/>
    <x v="0"/>
    <s v="30/11/1992"/>
    <n v="45"/>
    <x v="4"/>
    <s v="46 RUE ST CYRICE"/>
    <s v="-"/>
    <s v="-"/>
    <x v="358"/>
    <s v="RODEZ"/>
    <s v="2.576165"/>
    <s v="44.355102"/>
    <s v="Centre ville"/>
    <d v="2025-01-01T00:00:00"/>
    <d v="2025-01-01T00:00:00"/>
    <s v="Franchisee"/>
    <s v="FAMILLE PRAT"/>
    <s v="Jean Francois SANCHEZ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2751"/>
    <s v="IBIS LYON CENTRE PERRACHE"/>
    <x v="0"/>
    <s v="01/01/1916"/>
    <n v="123"/>
    <x v="1"/>
    <s v="28 COURS DE VERDUN PERRACHE"/>
    <s v="-"/>
    <s v="-"/>
    <x v="243"/>
    <s v="LYON"/>
    <s v="4.82806"/>
    <s v="45.748487"/>
    <s v="Centre ville"/>
    <d v="2025-01-01T00:00:00"/>
    <d v="2025-01-01T00:00:00"/>
    <s v="Franchisee"/>
    <s v="FAMILLE LAMELOISE"/>
    <s v="Katia GARNI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2753"/>
    <s v="IBIS STYLES PARIS GARE EST TGV"/>
    <x v="2"/>
    <s v="09/01/1995"/>
    <n v="37"/>
    <x v="4"/>
    <s v="87 BOULEVARD DE STRASBOURG"/>
    <s v="-"/>
    <s v="-"/>
    <x v="144"/>
    <s v="PARIS"/>
    <s v="2.357706"/>
    <s v="48.875852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772"/>
    <s v="IBIS GARE MATABIAU"/>
    <x v="0"/>
    <s v="01/01/1920"/>
    <n v="71"/>
    <x v="0"/>
    <s v="14 BOULEVARD BONREPOS"/>
    <s v="-"/>
    <s v="-"/>
    <x v="19"/>
    <s v="TOULOUSE"/>
    <s v="1.452287"/>
    <s v="43.611261"/>
    <s v="Centre ville"/>
    <d v="2025-01-01T00:00:00"/>
    <d v="2025-01-01T00:00:00"/>
    <s v="Franchisee"/>
    <s v="JEAN-MICHEL RANCOULE"/>
    <s v="Jean Francois SANCHE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2773"/>
    <s v="MERCURE SITE DU FUTUROSCOPE"/>
    <x v="1"/>
    <s v="25/03/1995"/>
    <n v="79"/>
    <x v="0"/>
    <s v="AVENUE JEAN MONNET"/>
    <s v="TELEPORT 3"/>
    <s v="BP 50190"/>
    <x v="359"/>
    <s v="POITIERS"/>
    <s v="0.359373"/>
    <s v="46.668523"/>
    <s v="Centre ville"/>
    <d v="2025-01-01T00:00:00"/>
    <d v="2025-01-01T00:00:00"/>
    <s v="Franchisee"/>
    <s v="PA-HOLDING"/>
    <s v="Dominique CHEVANCE"/>
    <x v="0"/>
    <n v="1.5"/>
    <n v="0.7"/>
    <s v="January"/>
    <n v="0.6"/>
    <s v="August"/>
    <n v="0.8"/>
    <x v="0"/>
    <x v="0"/>
    <s v="No"/>
    <s v="Yes"/>
    <n v="12"/>
    <s v="-"/>
    <n v="0"/>
    <s v="-"/>
    <n v="0.5"/>
    <n v="0.5"/>
    <n v="0.4"/>
    <n v="0.6"/>
  </r>
  <r>
    <s v="H2792"/>
    <s v="IBIS PARIS ST-DENIS STADE SUD"/>
    <x v="0"/>
    <s v="01/10/1999"/>
    <n v="95"/>
    <x v="0"/>
    <s v="RUE DE LA COKERIE"/>
    <s v="AV FRANCIS PRESSENSE"/>
    <s v="-"/>
    <x v="360"/>
    <s v="SAINT DENIS"/>
    <s v="2.364045"/>
    <s v="48.921216"/>
    <s v="Centre ville"/>
    <d v="2025-01-01T00:00:00"/>
    <d v="2025-01-01T00:00:00"/>
    <s v="Franchisee"/>
    <s v="GROUPE COVIVIO"/>
    <s v="Damien RAPHANEL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799"/>
    <s v="MERCURE PARIS PORTE DE PANTIN"/>
    <x v="1"/>
    <s v="01/08/1990"/>
    <n v="123"/>
    <x v="1"/>
    <s v="22 AVENUE JEAN LOLIVE"/>
    <s v="-"/>
    <s v="-"/>
    <x v="309"/>
    <s v="PANTIN"/>
    <s v="2.39929"/>
    <s v="48.890229"/>
    <s v="Centre ville"/>
    <d v="2025-01-01T00:00:00"/>
    <d v="2025-01-01T00:00:00"/>
    <s v="Franchisee"/>
    <s v="EUROPEQUIPEMENTS"/>
    <s v="Sophie CHOLLON"/>
    <x v="1"/>
    <n v="1.5"/>
    <n v="0.7"/>
    <s v="January"/>
    <n v="0.6"/>
    <s v="August"/>
    <n v="0.8"/>
    <x v="0"/>
    <x v="0"/>
    <s v="No"/>
    <s v="Yes"/>
    <n v="3"/>
    <n v="1"/>
    <n v="0"/>
    <s v="-"/>
    <n v="0.5"/>
    <n v="0.5"/>
    <n v="0.4"/>
    <n v="0.6"/>
  </r>
  <r>
    <s v="H2812"/>
    <s v="MERCURE ANNECY CENTRE"/>
    <x v="1"/>
    <s v="01/01/1982"/>
    <n v="39"/>
    <x v="4"/>
    <s v="26 RUE VAUGELAS"/>
    <s v="-"/>
    <s v="-"/>
    <x v="85"/>
    <s v="ANNECY"/>
    <s v="6.123944"/>
    <s v="45.90138"/>
    <s v="Centre ville"/>
    <d v="2025-01-01T00:00:00"/>
    <d v="2025-01-01T00:00:00"/>
    <s v="Franchisee"/>
    <s v="KER HOSPITALITY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855"/>
    <s v="IBIS STYLES LILLE AEROPORT"/>
    <x v="2"/>
    <s v="01/11/1999"/>
    <n v="75"/>
    <x v="0"/>
    <s v="IMPASSE JEAN JAURES"/>
    <s v="-"/>
    <s v="-"/>
    <x v="59"/>
    <s v="LILLE"/>
    <s v="3.091538"/>
    <s v="50.580506"/>
    <s v="Centre ville"/>
    <d v="2025-01-01T00:00:00"/>
    <d v="2025-01-01T00:00:00"/>
    <s v="Franchisee"/>
    <s v="GREGOIRE JARROSSON"/>
    <s v="Muriel JACQUELIN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2876"/>
    <s v="MERCURE DEAUVILLE CENTRE"/>
    <x v="1"/>
    <s v="01/09/1992"/>
    <n v="53"/>
    <x v="0"/>
    <s v="2 RUE BRENEY"/>
    <s v="-"/>
    <s v="-"/>
    <x v="149"/>
    <s v="DEAUVILLE"/>
    <s v="0.079254"/>
    <s v="49.36076"/>
    <s v="Centre ville"/>
    <d v="2025-01-01T00:00:00"/>
    <d v="2025-01-01T00:00:00"/>
    <s v="Franchisee"/>
    <s v="FAMILLE WARGNY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897"/>
    <s v="MERCURE LA SORBONNE ST GERMAIN"/>
    <x v="1"/>
    <s v="01/11/2000"/>
    <n v="47"/>
    <x v="4"/>
    <s v="14 RUE DE LA SORBONNE"/>
    <s v="-"/>
    <s v="-"/>
    <x v="361"/>
    <s v="PARIS"/>
    <s v="2.343006"/>
    <s v="48.849171"/>
    <s v="Centre ville"/>
    <d v="2025-01-01T00:00:00"/>
    <d v="2025-01-01T00:00:00"/>
    <s v="Franchisee"/>
    <s v="JACQUES BLANC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904"/>
    <s v="MERCURE SAINT-LARY"/>
    <x v="1"/>
    <s v="12/11/1988"/>
    <n v="65"/>
    <x v="0"/>
    <s v="JARDIN DES THERMES"/>
    <s v="18 RUE DE SOULAN"/>
    <s v="-"/>
    <x v="362"/>
    <s v="SAINT LARY SOULAN"/>
    <s v="0.321929"/>
    <s v="42.81999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n v="5"/>
    <n v="2"/>
    <n v="1"/>
    <s v="-"/>
    <n v="0.5"/>
    <n v="0.5"/>
    <n v="0.4"/>
    <n v="0.6"/>
  </r>
  <r>
    <s v="H2905"/>
    <s v="IBIS STRASBOURG SUD LA VIGIE"/>
    <x v="0"/>
    <s v="01/02/2000"/>
    <n v="65"/>
    <x v="0"/>
    <s v="13 RUE FERDINAND BRAUN"/>
    <s v="-"/>
    <s v="-"/>
    <x v="18"/>
    <s v="STRASBOURG"/>
    <s v="7.691895"/>
    <s v="48.534173"/>
    <s v="Centre ville"/>
    <d v="2025-01-01T00:00:00"/>
    <d v="2025-01-01T00:00:00"/>
    <s v="Franchisee"/>
    <s v="FAYCAL DOUADI"/>
    <s v="Christophe RUQUEBOEUCH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2944"/>
    <s v="IBIS STYLES AIX LES BAINS"/>
    <x v="2"/>
    <s v="01/01/1988"/>
    <n v="100"/>
    <x v="1"/>
    <s v="111 AVENUE DE MARLIOZ"/>
    <s v="CS 50146"/>
    <s v="-"/>
    <x v="363"/>
    <s v="AIX LES BAINS"/>
    <s v="5.90942"/>
    <s v="45.6763"/>
    <s v="Centre ville"/>
    <d v="2025-01-01T00:00:00"/>
    <d v="2025-01-01T00:00:00"/>
    <s v="Franchisee"/>
    <s v="C.F.H"/>
    <s v="Bello DIALLO"/>
    <x v="1"/>
    <n v="1.5"/>
    <n v="0.7"/>
    <s v="January"/>
    <n v="0.6"/>
    <s v="August"/>
    <n v="0.8"/>
    <x v="2"/>
    <x v="3"/>
    <s v="No"/>
    <s v="Yes"/>
    <n v="15"/>
    <n v="1"/>
    <n v="1"/>
    <n v="3"/>
    <n v="0.5"/>
    <n v="0.5"/>
    <n v="0.4"/>
    <n v="0.6"/>
  </r>
  <r>
    <s v="H2945"/>
    <s v="MERCURE AIX LES BAINS MARLIOZ"/>
    <x v="1"/>
    <s v="01/01/1983"/>
    <n v="60"/>
    <x v="0"/>
    <s v="111 AVENUE DE MARLIOZ"/>
    <s v="CS 50146"/>
    <s v="-"/>
    <x v="364"/>
    <s v="AIX LES BAINS"/>
    <s v="5.909185"/>
    <s v="45.675564"/>
    <s v="Centre ville"/>
    <d v="2025-01-01T00:00:00"/>
    <d v="2025-01-01T00:00:00"/>
    <s v="Franchisee"/>
    <s v="C.F.H"/>
    <s v="Bello DIALLO"/>
    <x v="1"/>
    <n v="1.5"/>
    <n v="0.7"/>
    <s v="January"/>
    <n v="0.6"/>
    <s v="August"/>
    <n v="0.8"/>
    <x v="0"/>
    <x v="3"/>
    <s v="No"/>
    <s v="Yes"/>
    <n v="14"/>
    <n v="1"/>
    <n v="1"/>
    <n v="3"/>
    <n v="0.5"/>
    <n v="0.5"/>
    <n v="0.4"/>
    <n v="0.6"/>
  </r>
  <r>
    <s v="H2947"/>
    <s v="MERCURE GRENOBLE PRESIDENT"/>
    <x v="1"/>
    <s v="01/01/1989"/>
    <n v="105"/>
    <x v="1"/>
    <s v="11 RUE GÉNÉRAL MANGIN"/>
    <s v="-"/>
    <s v="-"/>
    <x v="365"/>
    <s v="GRENOBLE"/>
    <s v="5.720304"/>
    <s v="45.179852"/>
    <s v="Centre ville"/>
    <d v="2025-01-01T00:00:00"/>
    <d v="2025-01-01T00:00:00"/>
    <s v="Franchisee"/>
    <s v="GRAPE HOSPITALITY"/>
    <s v="Bello DIALLO"/>
    <x v="0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2948"/>
    <s v="MERCURE GRENOBLE  MEYLAN"/>
    <x v="1"/>
    <s v="01/09/1977"/>
    <n v="60"/>
    <x v="0"/>
    <s v="34 AVENUE DE VERDUN"/>
    <s v="-"/>
    <s v="-"/>
    <x v="366"/>
    <s v="MEYLAN"/>
    <s v="5.758853"/>
    <s v="45.201393"/>
    <s v="Centre ville"/>
    <d v="2025-01-01T00:00:00"/>
    <d v="2025-01-01T00:00:00"/>
    <s v="Franchisee"/>
    <s v="ATYPIO"/>
    <s v="Bello DIALLO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2949"/>
    <s v="MERCURE LYON CENTRE BEAUX ARTS"/>
    <x v="1"/>
    <s v="01/01/1900"/>
    <n v="76"/>
    <x v="0"/>
    <s v="73-75 RUE PRESIDENT"/>
    <s v="EDOUARD HERRIOT"/>
    <s v="-"/>
    <x v="243"/>
    <s v="LYON"/>
    <s v="4.834124"/>
    <s v="45.760779"/>
    <s v="Centre ville"/>
    <d v="2025-01-01T00:00:00"/>
    <d v="2025-01-01T00:00:00"/>
    <s v="Franchisee"/>
    <s v="VALUESTATE HOTELS BERLIN GMBH"/>
    <s v="Katia GARNI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2951"/>
    <s v="MERCURE LYON CENTRE REPUBLIQUE"/>
    <x v="1"/>
    <s v="01/03/1993"/>
    <n v="82"/>
    <x v="0"/>
    <s v="5 RUE STELLA"/>
    <s v="-"/>
    <s v="-"/>
    <x v="243"/>
    <s v="LYON"/>
    <s v="4.836806"/>
    <s v="45.760652"/>
    <s v="Centre ville"/>
    <d v="2025-01-01T00:00:00"/>
    <d v="2025-01-01T00:00:00"/>
    <s v="Managed"/>
    <s v="ACCORINVEST FRANCE"/>
    <s v="Yoan SAUTOU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953"/>
    <s v="IBIS GRANDS BOULEVARDS OPERA"/>
    <x v="0"/>
    <s v="01/01/1974"/>
    <n v="105"/>
    <x v="1"/>
    <s v="38 RUE DU FAUBOURG MONTMARTRE"/>
    <s v="-"/>
    <s v="-"/>
    <x v="197"/>
    <s v="PARIS"/>
    <s v="2.341996"/>
    <s v="48.874335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2955"/>
    <s v="MERCURE PARIS EIFFEL MIRABEAU"/>
    <x v="1"/>
    <s v="15/04/1999"/>
    <n v="50"/>
    <x v="0"/>
    <s v="10 AVENUE EMILE ZOLA"/>
    <s v="-"/>
    <s v="-"/>
    <x v="173"/>
    <s v="PARIS"/>
    <s v="2.278836"/>
    <s v="48.846127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2994"/>
    <s v="IBIS GRANVILLE"/>
    <x v="0"/>
    <s v="01/01/1988"/>
    <n v="59"/>
    <x v="0"/>
    <s v="PORT DE PLAISANCE"/>
    <s v="RUE DES ISLES"/>
    <s v="-"/>
    <x v="367"/>
    <s v="GRANVILLE"/>
    <s v="-1.600313"/>
    <s v="48.834667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3004"/>
    <s v="MERCURE MARSEILLE CTR PRADO"/>
    <x v="1"/>
    <s v="01/10/1970"/>
    <n v="100"/>
    <x v="1"/>
    <s v="11 AVENUE DE MAZARGUES"/>
    <s v="-"/>
    <s v="-"/>
    <x v="368"/>
    <s v="MARSEILLE"/>
    <s v="5.387942"/>
    <s v="43.269665"/>
    <s v="Centre ville"/>
    <d v="2025-01-01T00:00:00"/>
    <d v="2025-01-01T00:00:00"/>
    <s v="Franchisee"/>
    <s v="DIDIER WEBRE"/>
    <s v="Alexandra LAUNAY"/>
    <x v="1"/>
    <n v="1.5"/>
    <n v="0.7"/>
    <s v="January"/>
    <n v="0.6"/>
    <s v="August"/>
    <n v="0.8"/>
    <x v="0"/>
    <x v="1"/>
    <s v="No"/>
    <s v="Yes"/>
    <n v="4"/>
    <n v="1"/>
    <n v="0"/>
    <s v="-"/>
    <n v="0.5"/>
    <n v="0.5"/>
    <n v="0.4"/>
    <n v="0.6"/>
  </r>
  <r>
    <s v="H3018"/>
    <s v="IBIS STRASBOURG CENTRE GARE"/>
    <x v="0"/>
    <s v="01/01/1950"/>
    <n v="117"/>
    <x v="1"/>
    <s v="10 PLACE DE LA GARE"/>
    <s v="-"/>
    <s v="-"/>
    <x v="68"/>
    <s v="STRASBOURG"/>
    <s v="7.736564"/>
    <s v="48.584479"/>
    <s v="Centre ville"/>
    <d v="2025-01-01T00:00:00"/>
    <d v="2025-01-01T00:00:00"/>
    <s v="Franchisee"/>
    <s v="GROUPE HELMLINGER"/>
    <s v="Christophe RUQUEBOE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3043"/>
    <s v="MERCURE MONTPELLIER CENTRE"/>
    <x v="1"/>
    <s v="02/04/2000"/>
    <n v="119"/>
    <x v="1"/>
    <s v="6 RUE DE LA SPIRALE"/>
    <s v="LANGUEDOC ROUSSILLON"/>
    <s v="-"/>
    <x v="92"/>
    <s v="MONTPELLIER"/>
    <s v="3.885743"/>
    <s v="43.609199"/>
    <s v="Centre ville"/>
    <d v="2025-01-01T00:00:00"/>
    <d v="2025-01-01T00:00:00"/>
    <s v="Franchisee"/>
    <s v="FAMILLE BANCAREL"/>
    <s v="Jean-Claude FOUCHET"/>
    <x v="0"/>
    <n v="1.5"/>
    <n v="0.7"/>
    <s v="January"/>
    <n v="0.6"/>
    <s v="August"/>
    <n v="0.8"/>
    <x v="0"/>
    <x v="0"/>
    <s v="No"/>
    <s v="Yes"/>
    <n v="9"/>
    <s v="-"/>
    <n v="0"/>
    <s v="-"/>
    <n v="0.5"/>
    <n v="0.5"/>
    <n v="0.4"/>
    <n v="0.6"/>
  </r>
  <r>
    <s v="H3076"/>
    <s v="IBIS BUDGET NICE PALAIS NIKAIA"/>
    <x v="4"/>
    <s v="01/11/1999"/>
    <n v="72"/>
    <x v="0"/>
    <s v="8 AVENUE PIERRE ISNARD"/>
    <s v="ANCIENNEMENT 232 RTE DE GRENOBLE"/>
    <s v="-"/>
    <x v="369"/>
    <s v="NICE"/>
    <s v="7.199601"/>
    <s v="43.680723"/>
    <s v="Centre ville"/>
    <d v="2025-01-01T00:00:00"/>
    <d v="2025-01-01T00:00:00"/>
    <s v="Franchisee"/>
    <s v="ACCORINVEST FRANCE"/>
    <s v="Marion BOROT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3085"/>
    <s v="IBIS BUDGET BORDEAUX LE LAC"/>
    <x v="4"/>
    <s v="13/01/2000"/>
    <n v="119"/>
    <x v="1"/>
    <s v="RUE DU PETIT BARAIL"/>
    <s v="CENTRE HÔTELIER DU LAC"/>
    <s v="-"/>
    <x v="12"/>
    <s v="BORDEAUX"/>
    <s v="-0.564905"/>
    <s v="44.889392"/>
    <s v="Centre ville"/>
    <d v="2025-01-01T00:00:00"/>
    <d v="2025-01-01T00:00:00"/>
    <s v="Franchisee"/>
    <s v="FERRE HOTELS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086"/>
    <s v="IBIS BUDGET PARIS PTE VINCENNES"/>
    <x v="4"/>
    <s v="07/02/2000"/>
    <n v="208"/>
    <x v="6"/>
    <s v="2 AVENUE LÉON GAUMONT"/>
    <s v="-"/>
    <s v="-"/>
    <x v="305"/>
    <s v="PARIS"/>
    <s v="2.416118"/>
    <s v="48.849468"/>
    <s v="Centre ville"/>
    <d v="2025-01-01T00:00:00"/>
    <d v="2025-01-01T00:00:00"/>
    <s v="Franchisee"/>
    <s v="GROUPE COVIVIO"/>
    <s v="Damien RAPHANEL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088"/>
    <s v="IBIS BUDGET PARIS PTE DE PANTIN"/>
    <x v="4"/>
    <s v="10/08/1999"/>
    <n v="108"/>
    <x v="1"/>
    <s v="96/98 AVENUE DU GENERAL LECLERC"/>
    <s v="-"/>
    <s v="-"/>
    <x v="309"/>
    <s v="PANTIN"/>
    <s v="2.403697"/>
    <s v="48.896831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093"/>
    <s v="IBIS BUDGET MACON SUD"/>
    <x v="4"/>
    <s v="15/02/2000"/>
    <n v="73"/>
    <x v="0"/>
    <s v="509 RUE JACQUARD"/>
    <s v="RN 6"/>
    <s v="-"/>
    <x v="67"/>
    <s v="MACON"/>
    <s v="4.804834"/>
    <s v="46.281568"/>
    <s v="Centre ville"/>
    <d v="2025-01-01T00:00:00"/>
    <d v="2025-01-01T00:00:00"/>
    <s v="Franchisee"/>
    <s v="KER HOSPITALITY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094"/>
    <s v="IBIS BUDGET CHAMBOURCY"/>
    <x v="4"/>
    <s v="11/03/2000"/>
    <n v="61"/>
    <x v="0"/>
    <s v="2 RUE DU MUR DU PARC"/>
    <s v="CENTRE COMMERCIAL CARREFOUR"/>
    <s v="RN 13"/>
    <x v="370"/>
    <s v="CHAMBOURCY"/>
    <s v="2.031471"/>
    <s v="48.909445"/>
    <s v="Centre ville"/>
    <d v="2025-01-01T00:00:00"/>
    <d v="2025-01-01T00:00:00"/>
    <s v="Franchisee"/>
    <s v="CELESTIN KAN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098"/>
    <s v="IBIS BUDGET CHATELLERAULT"/>
    <x v="4"/>
    <s v="02/04/2000"/>
    <n v="68"/>
    <x v="0"/>
    <s v="12 ALLÉE D'ARGENSON"/>
    <s v="ZI NORD"/>
    <s v="-"/>
    <x v="97"/>
    <s v="CHATELLERAULT"/>
    <s v="0.551283"/>
    <s v="46.849151"/>
    <s v="Centre ville"/>
    <d v="2025-01-01T00:00:00"/>
    <d v="2025-01-01T00:00:00"/>
    <s v="Franchisee"/>
    <s v="FOURNIER - DOUPAGNE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165"/>
    <s v="NOVOTEL LILLE CENTRE GARES"/>
    <x v="3"/>
    <s v="14/05/2001"/>
    <n v="96"/>
    <x v="0"/>
    <s v="49  RUE DE TOURNAI"/>
    <s v="-"/>
    <s v="-"/>
    <x v="153"/>
    <s v="LILLE"/>
    <s v="3.07411"/>
    <s v="50.634167"/>
    <s v="Centre ville"/>
    <d v="2025-01-01T00:00:00"/>
    <d v="2025-01-01T00:00:00"/>
    <s v="Franchisee"/>
    <s v="GROUPE COVIVIO"/>
    <s v="Hubert VANQUATHEM"/>
    <x v="1"/>
    <n v="1.5"/>
    <n v="0.7"/>
    <s v="January"/>
    <n v="0.6"/>
    <s v="August"/>
    <n v="0.8"/>
    <x v="0"/>
    <x v="0"/>
    <s v="No"/>
    <s v="Yes"/>
    <n v="1"/>
    <n v="1"/>
    <n v="0"/>
    <s v="-"/>
    <n v="0.5"/>
    <n v="0.5"/>
    <n v="0.4"/>
    <n v="0.6"/>
  </r>
  <r>
    <s v="H3168"/>
    <s v="MERCURE TROYES CENTRE"/>
    <x v="1"/>
    <s v="01/06/2001"/>
    <n v="73"/>
    <x v="0"/>
    <s v="11 RUE DES BAS TRÉVOIS"/>
    <s v="-"/>
    <s v="-"/>
    <x v="371"/>
    <s v="TROYES"/>
    <s v="4.079443"/>
    <s v="48.292657"/>
    <s v="Centre ville"/>
    <d v="2025-01-01T00:00:00"/>
    <d v="2025-01-01T00:00:00"/>
    <s v="Franchisee"/>
    <s v="CLR HOTELS"/>
    <s v="Eric MARAIS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3180"/>
    <s v="IBIS BUDGET SENLIS"/>
    <x v="4"/>
    <s v="27/05/2000"/>
    <n v="79"/>
    <x v="0"/>
    <s v="72 AV. DU GENERAL DE GAULLE"/>
    <s v="-"/>
    <s v="-"/>
    <x v="130"/>
    <s v="SENLIS"/>
    <s v="2.605187"/>
    <s v="49.208752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181"/>
    <s v="IBIS BUDGET BERCK SUR MER"/>
    <x v="4"/>
    <s v="01/06/2000"/>
    <n v="63"/>
    <x v="0"/>
    <s v="BOULEVARD DE PARIS"/>
    <s v="-"/>
    <s v="-"/>
    <x v="372"/>
    <s v="BERCK SUR MER"/>
    <s v="1.593493"/>
    <s v="50.403362"/>
    <s v="Centre ville"/>
    <d v="2025-01-01T00:00:00"/>
    <d v="2025-01-01T00:00:00"/>
    <s v="Franchisee"/>
    <s v="BOISSEE FINANCES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182"/>
    <s v="IBIS BUDGET SAINT MALO CENTRE"/>
    <x v="4"/>
    <s v="28/04/2000"/>
    <n v="64"/>
    <x v="0"/>
    <s v="138-140 BOULEVARD DES TALARDS"/>
    <s v="-"/>
    <s v="-"/>
    <x v="135"/>
    <s v="SAINT MALO"/>
    <s v="-2.009403"/>
    <s v="48.638277"/>
    <s v="Centre ville"/>
    <d v="2025-01-01T00:00:00"/>
    <d v="2025-01-01T00:00:00"/>
    <s v="Franchisee"/>
    <s v="FAMILLE FOUENEL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183"/>
    <s v="IBIS BUDGET STRASBOURG CENTRE"/>
    <x v="4"/>
    <s v="31/08/2000"/>
    <n v="82"/>
    <x v="0"/>
    <s v="13 PLACE DE LA GARE"/>
    <s v="-"/>
    <s v="-"/>
    <x v="68"/>
    <s v="STRASBOURG"/>
    <s v="7.736245"/>
    <s v="48.584997"/>
    <s v="Centre ville"/>
    <d v="2025-01-01T00:00:00"/>
    <d v="2025-01-01T00:00:00"/>
    <s v="Franchisee"/>
    <s v="GROUPE HELMLINGER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185"/>
    <s v="IBIS BUDGET FREJUS SAINT RAPHAEL"/>
    <x v="4"/>
    <s v="19/07/2000"/>
    <n v="64"/>
    <x v="0"/>
    <s v="1074 AVE DE LATTRE DE TASSIGNY"/>
    <s v="CENTRE LE LIGURE"/>
    <s v="-"/>
    <x v="334"/>
    <s v="FREJUS"/>
    <s v="6.755274"/>
    <s v="43.430713"/>
    <s v="Centre ville"/>
    <d v="2025-01-01T00:00:00"/>
    <d v="2025-01-01T00:00:00"/>
    <s v="Franchisee"/>
    <s v="CASTELLET HOSPITALITY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186"/>
    <s v="IBIS BUDGET GENNEVILLIERS"/>
    <x v="4"/>
    <s v="11/07/2000"/>
    <n v="119"/>
    <x v="1"/>
    <s v="4 RUE GEORGES CORÈTE"/>
    <s v="-"/>
    <s v="-"/>
    <x v="298"/>
    <s v="GENNEVILLIERS"/>
    <s v="2.30495"/>
    <s v="48.942056"/>
    <s v="Centre ville"/>
    <d v="2025-01-01T00:00:00"/>
    <d v="2025-01-01T00:00:00"/>
    <s v="Franchisee"/>
    <s v="SO ECO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187"/>
    <s v="IBIS BUDGET SISTERON"/>
    <x v="4"/>
    <s v="27/06/2000"/>
    <n v="30"/>
    <x v="4"/>
    <s v="1 ALLÉE DES TILLEULS"/>
    <s v="PARC D'ACTIVITÉS SISTERON NORD"/>
    <s v="-"/>
    <x v="229"/>
    <s v="SISTERON"/>
    <s v="5.913273"/>
    <s v="44.226272"/>
    <s v="Centre ville"/>
    <d v="2025-01-01T00:00:00"/>
    <d v="2025-01-01T00:00:00"/>
    <s v="Franchisee"/>
    <s v="C.F.H"/>
    <s v="Alexandra LAUNAY"/>
    <x v="0"/>
    <n v="1.5"/>
    <n v="0.7"/>
    <s v="January"/>
    <n v="0.6"/>
    <s v="August"/>
    <n v="0.8"/>
    <x v="0"/>
    <x v="0"/>
    <s v="No"/>
    <s v="Yes"/>
    <s v="-"/>
    <s v="-"/>
    <n v="0"/>
    <n v="1"/>
    <n v="0.5"/>
    <n v="0.5"/>
    <n v="0.4"/>
    <n v="0.6"/>
  </r>
  <r>
    <s v="H3197"/>
    <s v="IBIS PARIS ORNANO MONTMARTRE"/>
    <x v="0"/>
    <s v="01/11/2000"/>
    <n v="86"/>
    <x v="0"/>
    <s v="70 BIS BOULEVARD ORNANO"/>
    <s v="-"/>
    <s v="-"/>
    <x v="21"/>
    <s v="PARIS"/>
    <s v="2.345528"/>
    <s v="48.896526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3211"/>
    <s v="IBIS GARE DE LYON DIDEROT"/>
    <x v="0"/>
    <s v="01/01/1975"/>
    <n v="89"/>
    <x v="0"/>
    <s v="31 BIS  BOULEVARD DIDEROT"/>
    <s v="-"/>
    <s v="-"/>
    <x v="183"/>
    <s v="PARIS"/>
    <s v="2.376373"/>
    <s v="48.846262"/>
    <s v="Centre ville"/>
    <d v="2025-01-01T00:00:00"/>
    <d v="2025-01-01T00:00:00"/>
    <s v="Franchisee"/>
    <s v="COFIGAD - EME"/>
    <s v="Benoit DUCHE"/>
    <x v="0"/>
    <n v="1.5"/>
    <n v="0.7"/>
    <s v="January"/>
    <n v="0.6"/>
    <s v="August"/>
    <n v="0.8"/>
    <x v="0"/>
    <x v="1"/>
    <s v="No"/>
    <s v="Yes"/>
    <n v="5"/>
    <s v="-"/>
    <n v="0"/>
    <s v="-"/>
    <n v="0.5"/>
    <n v="0.5"/>
    <n v="0.4"/>
    <n v="0.6"/>
  </r>
  <r>
    <s v="H3225"/>
    <s v="MERCURE ST MALO FRONT DE MER"/>
    <x v="1"/>
    <s v="18/01/2001"/>
    <n v="51"/>
    <x v="0"/>
    <s v="36  CHAUSSÉE DU SILLON"/>
    <s v="-"/>
    <s v="-"/>
    <x v="135"/>
    <s v="SAINT MALO"/>
    <s v="-2.013996"/>
    <s v="48.652687"/>
    <s v="Centre ville"/>
    <d v="2025-01-01T00:00:00"/>
    <d v="2025-01-01T00:00:00"/>
    <s v="Franchisee"/>
    <s v="FAMILLE FOUENEL"/>
    <s v="Jean-Francois STEBLER"/>
    <x v="0"/>
    <n v="1.5"/>
    <n v="0.7"/>
    <s v="January"/>
    <n v="0.6"/>
    <s v="August"/>
    <n v="0.8"/>
    <x v="0"/>
    <x v="1"/>
    <s v="No"/>
    <s v="Yes"/>
    <s v="-"/>
    <n v="1"/>
    <n v="0"/>
    <s v="-"/>
    <n v="0.5"/>
    <n v="0.5"/>
    <n v="0.4"/>
    <n v="0.6"/>
  </r>
  <r>
    <s v="H3232"/>
    <s v="IBIS AUTUN"/>
    <x v="0"/>
    <s v="01/11/1989"/>
    <n v="46"/>
    <x v="4"/>
    <s v="3 RUE LOUIS ARAGON"/>
    <s v="PLAN  D'EAU DU VALLON"/>
    <s v="-"/>
    <x v="373"/>
    <s v="AUTUN"/>
    <s v="4.321328"/>
    <s v="46.953807"/>
    <s v="Centre ville"/>
    <d v="2025-01-01T00:00:00"/>
    <d v="2025-01-01T00:00:00"/>
    <s v="Franchisee"/>
    <s v="HPVA HOTELS"/>
    <s v="Katia GARNI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3267"/>
    <s v="IBIS PARIS VAUGIRARD"/>
    <x v="0"/>
    <s v="01/01/2001"/>
    <n v="48"/>
    <x v="4"/>
    <s v="5 RUE EUGÈNE GIBEZ"/>
    <s v="-"/>
    <s v="-"/>
    <x v="173"/>
    <s v="PARIS"/>
    <s v="2.294668"/>
    <s v="48.835996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296"/>
    <s v="IBIS PARIS LA DEFENSE COURBEVOIE"/>
    <x v="0"/>
    <s v="01/04/2001"/>
    <n v="129"/>
    <x v="1"/>
    <s v="39 QUAI PAUL DOUMER"/>
    <s v="ACCÈS PIÉTON : 60 RUE VICTOR HUGO"/>
    <s v="-"/>
    <x v="146"/>
    <s v="COURBEVOIE"/>
    <s v="2.262068"/>
    <s v="48.895647"/>
    <s v="Centre ville"/>
    <d v="2025-01-01T00:00:00"/>
    <d v="2025-01-01T00:00:00"/>
    <s v="Managed"/>
    <s v="ACCORINVEST FRANCE"/>
    <s v="Lionel VANDERLOOVEN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3297"/>
    <s v="IBIS BESANCON CENTRE LA CITY"/>
    <x v="0"/>
    <s v="15/04/2004"/>
    <n v="119"/>
    <x v="1"/>
    <s v="1 AVENUE LOUISE MICHEL"/>
    <s v="-"/>
    <s v="-"/>
    <x v="43"/>
    <s v="BESANCON"/>
    <s v="6.015347"/>
    <s v="47.235415"/>
    <s v="Centre ville"/>
    <d v="2025-01-01T00:00:00"/>
    <d v="2025-01-01T00:00:00"/>
    <s v="Franchisee"/>
    <s v="GRAPE HOSPITALITY"/>
    <s v="Eric MARAIS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3298"/>
    <s v="IBIS PARIS PORTE CLICHY CENTRE"/>
    <x v="0"/>
    <s v="01/08/2002"/>
    <n v="124"/>
    <x v="1"/>
    <s v="15 BOULEVARD VICTOR HUGO"/>
    <s v="PLACE DES NATIONS-UNIES"/>
    <s v="-"/>
    <x v="374"/>
    <s v="CLICHY"/>
    <s v="2.309945"/>
    <s v="48.897238"/>
    <s v="Centre ville"/>
    <d v="2025-01-01T00:00:00"/>
    <d v="2025-01-01T00:00:00"/>
    <s v="Franchisee"/>
    <s v="O. PELAT - ACCORINVEST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3357"/>
    <s v="IBIS CHOLET"/>
    <x v="0"/>
    <s v="01/01/2001"/>
    <n v="59"/>
    <x v="0"/>
    <s v="AVENUE DES SABLES"/>
    <s v="-"/>
    <s v="-"/>
    <x v="375"/>
    <s v="CHOLET"/>
    <s v="-0.899162"/>
    <s v="47.042902"/>
    <s v="Centre ville"/>
    <d v="2025-01-01T00:00:00"/>
    <d v="2025-01-01T00:00:00"/>
    <s v="Franchisee"/>
    <s v="PA-HOLDING"/>
    <s v="Jean-Luc RABAUL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3401"/>
    <s v="IBIS LANNION"/>
    <x v="0"/>
    <s v="15/06/1991"/>
    <n v="70"/>
    <x v="0"/>
    <s v="30 AVENUE DU GÉNÉRAL DE GAULLE"/>
    <s v="-"/>
    <s v="-"/>
    <x v="376"/>
    <s v="LANNION"/>
    <s v="-3.460619"/>
    <s v="48.7281"/>
    <s v="Centre ville"/>
    <d v="2025-01-01T00:00:00"/>
    <d v="2025-01-01T00:00:00"/>
    <s v="Franchisee"/>
    <s v="JEAN-CHARLES GRARDEL"/>
    <s v="Jean-Francois STEBL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3406"/>
    <s v="IBIS NOGENT SUR MARNE"/>
    <x v="0"/>
    <s v="01/01/1985"/>
    <n v="74"/>
    <x v="0"/>
    <s v="RUE DE NAZARÉ"/>
    <s v="ZAC DU PORT"/>
    <s v="-"/>
    <x v="377"/>
    <s v="NOGENT SUR MARNE"/>
    <s v="2.49233"/>
    <s v="48.832718"/>
    <s v="Centre ville"/>
    <d v="2025-01-01T00:00:00"/>
    <d v="2025-01-01T00:00:00"/>
    <s v="Franchisee"/>
    <s v="SOMNOO"/>
    <s v="Sophie CHOLLON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3433"/>
    <s v="IBIS BREST KERGARADEC AEROPORT"/>
    <x v="0"/>
    <s v="01/01/1985"/>
    <n v="65"/>
    <x v="0"/>
    <s v="RUE ROMAIN DESFOSSÉS"/>
    <s v="-"/>
    <s v="-"/>
    <x v="249"/>
    <s v="BREST"/>
    <s v="-4.476489"/>
    <s v="48.426481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3434"/>
    <s v="IBIS STYLES QUIMPER"/>
    <x v="2"/>
    <s v="01/01/2001"/>
    <n v="41"/>
    <x v="4"/>
    <s v="6 ALLÉE DE KERNENEZ"/>
    <s v="ZAC DE CRÉAC'H GWEN"/>
    <s v="-"/>
    <x v="111"/>
    <s v="QUIMPER"/>
    <s v="-4.102385"/>
    <s v="47.979394"/>
    <s v="Centre ville"/>
    <d v="2025-01-01T00:00:00"/>
    <d v="2025-01-01T00:00:00"/>
    <s v="Franchisee"/>
    <s v="FAMILLE CAREME"/>
    <s v="Jean-Luc RABAULT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3435"/>
    <s v="IBIS AURAY"/>
    <x v="0"/>
    <s v="01/06/1990"/>
    <n v="50"/>
    <x v="0"/>
    <s v="2 AVENUE ROLAND GARROS"/>
    <s v="ROUTE DE QUIBERON"/>
    <s v="-"/>
    <x v="378"/>
    <s v="AURAY"/>
    <s v="-3.013225"/>
    <s v="47.662399"/>
    <s v="Centre ville"/>
    <d v="2025-01-01T00:00:00"/>
    <d v="2025-01-01T00:00:00"/>
    <s v="Franchisee"/>
    <s v="OLIVIER SAVOUREL"/>
    <s v="Jean-Luc RABAULT"/>
    <x v="0"/>
    <n v="1.5"/>
    <n v="0.7"/>
    <s v="January"/>
    <n v="0.6"/>
    <s v="August"/>
    <n v="0.8"/>
    <x v="0"/>
    <x v="1"/>
    <s v="No"/>
    <s v="Yes"/>
    <n v="2"/>
    <s v="-"/>
    <n v="1"/>
    <s v="-"/>
    <n v="0.5"/>
    <n v="0.5"/>
    <n v="0.4"/>
    <n v="0.6"/>
  </r>
  <r>
    <s v="H3436"/>
    <s v="IBIS NANTES SAINT HERBLAIN"/>
    <x v="0"/>
    <s v="09/05/1990"/>
    <n v="79"/>
    <x v="0"/>
    <s v="345 BOULEVARD MARCEL PAUL"/>
    <s v="ZAC ATLANTIS"/>
    <s v="-"/>
    <x v="379"/>
    <s v="NANTES"/>
    <s v="-1.638598"/>
    <s v="47.224247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3437"/>
    <s v="IBIS PARIS MAISONS LAFFITTE"/>
    <x v="0"/>
    <s v="01/01/2001"/>
    <n v="89"/>
    <x v="0"/>
    <s v="2 RUE DE PARIS"/>
    <s v="-"/>
    <s v="-"/>
    <x v="380"/>
    <s v="MAISONS LAFFITTE"/>
    <s v="2.154373"/>
    <s v="48.944405"/>
    <s v="Centre ville"/>
    <d v="2025-01-01T00:00:00"/>
    <d v="2025-01-01T00:00:00"/>
    <s v="Franchisee"/>
    <s v="S.I.H."/>
    <s v="Benoit DUCHE"/>
    <x v="0"/>
    <n v="1.5"/>
    <n v="0.7"/>
    <s v="January"/>
    <n v="0.6"/>
    <s v="August"/>
    <n v="0.8"/>
    <x v="2"/>
    <x v="0"/>
    <s v="No"/>
    <s v="Yes"/>
    <n v="3"/>
    <s v="-"/>
    <n v="0"/>
    <s v="-"/>
    <n v="0.5"/>
    <n v="0.5"/>
    <n v="0.4"/>
    <n v="0.6"/>
  </r>
  <r>
    <s v="H3438"/>
    <s v="IBIS PARIS LE BOURGET"/>
    <x v="0"/>
    <s v="15/07/1992"/>
    <n v="72"/>
    <x v="0"/>
    <s v="104 AVENUE JEAN MERMOZ"/>
    <s v="-"/>
    <s v="-"/>
    <x v="381"/>
    <s v="LA COURNEUVE"/>
    <s v="2.410229"/>
    <s v="48.932549"/>
    <s v="Centre ville"/>
    <d v="2025-01-01T00:00:00"/>
    <d v="2025-01-01T00:00:00"/>
    <s v="Franchisee"/>
    <s v="VIRGINIE MARRIER D'UNIENVILLE"/>
    <s v="Sophie CHOLLON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3448"/>
    <s v="MERCURE NANTES CENTRE GARE"/>
    <x v="1"/>
    <s v="01/01/1990"/>
    <n v="117"/>
    <x v="1"/>
    <s v="50/51 QUAI MALAKOFF"/>
    <s v="-"/>
    <s v="-"/>
    <x v="172"/>
    <s v="NANTES"/>
    <s v="-1.543981"/>
    <s v="47.216141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3449"/>
    <s v="IBIS AUCH"/>
    <x v="0"/>
    <s v="01/09/2001"/>
    <n v="51"/>
    <x v="0"/>
    <s v="AVENUE JEAN JAURÈS"/>
    <s v="ZONE D'ENDOUMINGUE"/>
    <s v="-"/>
    <x v="382"/>
    <s v="AUCH"/>
    <s v="0.59768"/>
    <s v="43.664122"/>
    <s v="Centre ville"/>
    <d v="2025-01-01T00:00:00"/>
    <d v="2025-01-01T00:00:00"/>
    <s v="Franchisee"/>
    <s v="NATHALIE CHEN-RAKOTOMALALA"/>
    <s v="Jean Francois SANCHEZ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3450"/>
    <s v="IBIS RENNES CENTRE GARE SUD"/>
    <x v="0"/>
    <s v="15/10/2001"/>
    <n v="90"/>
    <x v="0"/>
    <s v="15 RUE DE CHÂTILLON."/>
    <s v="ESPLANADE FULGENCE BIENVENUE"/>
    <s v="-"/>
    <x v="136"/>
    <s v="RENNES"/>
    <s v="-1.673493"/>
    <s v="48.102241"/>
    <s v="Centre ville"/>
    <d v="2025-01-01T00:00:00"/>
    <d v="2025-01-01T00:00:00"/>
    <s v="Franchisee"/>
    <s v="ASTAN HOSPITALITY - FIOUEST"/>
    <s v="Jean-Francois STEBL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3452"/>
    <s v="MERCURE CERGY PONTOISE CTRE"/>
    <x v="1"/>
    <s v="15/02/1991"/>
    <n v="57"/>
    <x v="0"/>
    <s v="3 RUE DES CHÊNES EMERAUDE"/>
    <s v="-"/>
    <s v="-"/>
    <x v="180"/>
    <s v="CERGY PONTOISE"/>
    <s v="2.072875"/>
    <s v="49.041012"/>
    <s v="Centre ville"/>
    <d v="2025-01-01T00:00:00"/>
    <d v="2025-01-01T00:00:00"/>
    <s v="Franchisee"/>
    <s v="SOMNOO"/>
    <s v="Sophie CHOLLON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3475"/>
    <s v="MERCURE TOURS CENTRE GARE"/>
    <x v="1"/>
    <s v="01/09/2003"/>
    <n v="92"/>
    <x v="0"/>
    <s v="29 RUE EDOUARD VAILLANT"/>
    <s v="-"/>
    <s v="-"/>
    <x v="259"/>
    <s v="TOURS"/>
    <s v="0.697998"/>
    <s v="47.386896"/>
    <s v="Centre ville"/>
    <d v="2025-01-01T00:00:00"/>
    <d v="2025-01-01T00:00:00"/>
    <s v="Franchisee"/>
    <s v="FERRE HOTELS"/>
    <s v="Bruno COQUAZ"/>
    <x v="3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3480"/>
    <s v="MERCURE NEVERS PONT DE LOIRE"/>
    <x v="1"/>
    <s v="01/06/1974"/>
    <n v="59"/>
    <x v="0"/>
    <s v="QUAI DE MÉDINE"/>
    <s v="-"/>
    <s v="-"/>
    <x v="184"/>
    <s v="NEVERS"/>
    <s v="3.163799"/>
    <s v="46.985998"/>
    <s v="Centre ville"/>
    <d v="2025-01-01T00:00:00"/>
    <d v="2025-01-01T00:00:00"/>
    <s v="Franchisee"/>
    <s v="HPVA HOTELS"/>
    <s v="Bruno COQUAZ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3486"/>
    <s v="IBIS BUDGET BOULOGNE SUR MER"/>
    <x v="4"/>
    <s v="15/01/2001"/>
    <n v="64"/>
    <x v="0"/>
    <s v="2 BIS BOULEVARD DAUNOU"/>
    <s v="-"/>
    <s v="-"/>
    <x v="248"/>
    <s v="BOULOGNE SUR MER"/>
    <s v="1.607911"/>
    <s v="50.719589"/>
    <s v="Centre ville"/>
    <d v="2025-01-01T00:00:00"/>
    <d v="2025-01-01T00:00:00"/>
    <s v="Franchisee"/>
    <s v="SOMNOO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487"/>
    <s v="IBIS BUDGET REMIREMONT"/>
    <x v="4"/>
    <s v="24/10/2000"/>
    <n v="56"/>
    <x v="0"/>
    <s v="FAUBOURG D'ALSACE"/>
    <s v="-"/>
    <s v="-"/>
    <x v="383"/>
    <s v="REMIREMONT"/>
    <s v="6.602526"/>
    <s v="48.010884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489"/>
    <s v="IBIS BUDGET PERPIGNAN NORD"/>
    <x v="4"/>
    <s v="06/12/2000"/>
    <n v="80"/>
    <x v="0"/>
    <s v="7 RUE ALFRED SAUVY"/>
    <s v="-"/>
    <s v="-"/>
    <x v="57"/>
    <s v="PERPIGNAN"/>
    <s v="2.900678"/>
    <s v="42.781792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490"/>
    <s v="IBIS BUDGET ABBEVILLE"/>
    <x v="4"/>
    <s v="17/01/2001"/>
    <n v="75"/>
    <x v="0"/>
    <s v="1 RUE RENÉ DINGEON"/>
    <s v="-"/>
    <s v="-"/>
    <x v="384"/>
    <s v="ABBEVILLE"/>
    <s v="1.867729"/>
    <s v="50.102783"/>
    <s v="Centre ville"/>
    <d v="2025-01-01T00:00:00"/>
    <d v="2025-01-01T00:00:00"/>
    <s v="Franchisee"/>
    <s v="BOISSEE FINANCES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491"/>
    <s v="IBIS BUDGET PARIS AUBERVILLIERS"/>
    <x v="4"/>
    <s v="06/11/2000"/>
    <n v="257"/>
    <x v="5"/>
    <s v="53-61RUE DE LA COMMUNE DE PARIS"/>
    <s v="-"/>
    <s v="-"/>
    <x v="385"/>
    <s v="AUBERVILLIERS"/>
    <s v="2.37993"/>
    <s v="48.910374"/>
    <s v="Centre ville"/>
    <d v="2025-01-01T00:00:00"/>
    <d v="2025-01-01T00:00:00"/>
    <s v="Franchisee"/>
    <s v="PIERRE PREMIER GESTION"/>
    <s v="Thomas COSTES"/>
    <x v="0"/>
    <n v="1.5"/>
    <n v="0.7"/>
    <s v="January"/>
    <n v="0.6"/>
    <s v="August"/>
    <n v="0.8"/>
    <x v="1"/>
    <x v="1"/>
    <s v="No"/>
    <s v="Yes"/>
    <n v="2"/>
    <s v="-"/>
    <n v="0"/>
    <s v="-"/>
    <n v="0.5"/>
    <n v="0.5"/>
    <n v="0.4"/>
    <n v="0.6"/>
  </r>
  <r>
    <s v="H3492"/>
    <s v="IBIS BUDGET LE HAVRE LES DOCKS"/>
    <x v="4"/>
    <s v="11/12/2000"/>
    <n v="90"/>
    <x v="0"/>
    <s v="38 RUE DU DR PIASCEKI"/>
    <s v="-"/>
    <s v="-"/>
    <x v="2"/>
    <s v="LE HAVRE"/>
    <s v="0.142789"/>
    <s v="49.494274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498"/>
    <s v="IBIS BUDGET PAU EST"/>
    <x v="4"/>
    <s v="01/11/2000"/>
    <n v="67"/>
    <x v="0"/>
    <s v="BOULEVARD DE L'AVIATION"/>
    <s v="-"/>
    <s v="-"/>
    <x v="188"/>
    <s v="PAU"/>
    <s v="-0.3281"/>
    <s v="43.30755"/>
    <s v="Centre ville"/>
    <d v="2025-01-01T00:00:00"/>
    <d v="2025-01-01T00:00:00"/>
    <s v="Franchisee"/>
    <s v="HOTELINA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00"/>
    <s v="IBIS BUDGET BESANCON CENTRE GARE"/>
    <x v="4"/>
    <s v="31/07/2004"/>
    <n v="90"/>
    <x v="0"/>
    <s v="5 AVENUE MARÉCHAL FOCH"/>
    <s v="-"/>
    <s v="-"/>
    <x v="43"/>
    <s v="BESANCON"/>
    <s v="6.023035"/>
    <s v="47.246866"/>
    <s v="Centre ville"/>
    <d v="2025-01-01T00:00:00"/>
    <d v="2025-01-01T00:00:00"/>
    <s v="Franchisee"/>
    <s v="GRAPE HOSPITALITY"/>
    <s v="Eric MARAIS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3508"/>
    <s v="IBIS BUDGET CAEN PTE DE BRETAGNE"/>
    <x v="4"/>
    <s v="01/09/2004"/>
    <n v="75"/>
    <x v="0"/>
    <s v="1 AVENUE DU FRESNE"/>
    <s v="-"/>
    <s v="-"/>
    <x v="386"/>
    <s v="CAEN"/>
    <s v="-0.42226"/>
    <s v="49.1639"/>
    <s v="Centre ville"/>
    <d v="2025-01-01T00:00:00"/>
    <d v="2025-01-01T00:00:00"/>
    <s v="Franchisee"/>
    <s v="FAMILLE BESNEVILLE-LOGEAIS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15"/>
    <s v="IBIS BUDGET ROISSY CDG PARIS"/>
    <x v="4"/>
    <s v="29/04/2002"/>
    <n v="250"/>
    <x v="5"/>
    <s v="335 RUE DE LA BELLE ETOILE"/>
    <s v="ZAC PARIS NORD 2"/>
    <s v="ROISSY EN FRANCE"/>
    <x v="387"/>
    <s v="ROISSY"/>
    <s v="2.512956"/>
    <s v="48.989723"/>
    <s v="Centre ville"/>
    <d v="2025-01-01T00:00:00"/>
    <d v="2025-01-01T00:00:00"/>
    <s v="Franchisee"/>
    <s v="GROUPE COVIVIO"/>
    <s v="Damien RAPHANEL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23"/>
    <s v="IBIS BUDGET LISIEUX"/>
    <x v="4"/>
    <s v="01/08/2001"/>
    <n v="60"/>
    <x v="0"/>
    <s v="1028 AVENUE GEORGES DUVAL"/>
    <s v="D613"/>
    <s v="-"/>
    <x v="282"/>
    <s v="LISIEUX"/>
    <s v="0.266408"/>
    <s v="49.14537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24"/>
    <s v="IBIS BUDGET LE TREPORT"/>
    <x v="4"/>
    <s v="27/02/2001"/>
    <n v="62"/>
    <x v="0"/>
    <s v="AVENUE PIERRE &amp; MARIE CURIE"/>
    <s v="-"/>
    <s v="-"/>
    <x v="388"/>
    <s v="MERS LES BAINS"/>
    <s v="1.407763"/>
    <s v="50.060562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3525"/>
    <s v="IBIS BUDGET MARSEILLE EST"/>
    <x v="4"/>
    <s v="09/04/2002"/>
    <n v="57"/>
    <x v="0"/>
    <s v="184 AVENUE DE SAINT MENET"/>
    <s v="-"/>
    <s v="-"/>
    <x v="71"/>
    <s v="MARSEILLE"/>
    <s v="5.511478"/>
    <s v="43.287062"/>
    <s v="Centre ville"/>
    <d v="2025-01-01T00:00:00"/>
    <d v="2025-01-01T00:00:00"/>
    <s v="Managed"/>
    <s v="ACCORINVEST FRANCE"/>
    <s v="Yoan SAUTOU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46"/>
    <s v="NOVOTEL PARIS CENTRE TOUR EIFFEL"/>
    <x v="3"/>
    <s v="01/01/1976"/>
    <n v="764"/>
    <x v="2"/>
    <s v="61 QUAI DE GRENELLE"/>
    <s v="-"/>
    <s v="-"/>
    <x v="173"/>
    <s v="PARIS"/>
    <s v="2.282836"/>
    <s v="48.849778"/>
    <s v="Centre ville"/>
    <d v="2025-01-01T00:00:00"/>
    <d v="2025-01-01T00:00:00"/>
    <s v="Managed"/>
    <s v="ACCORINVEST FRANCE"/>
    <s v="Philippe JAUSSELY"/>
    <x v="1"/>
    <n v="1.5"/>
    <n v="0.7"/>
    <s v="January"/>
    <n v="0.6"/>
    <s v="August"/>
    <n v="0.8"/>
    <x v="0"/>
    <x v="3"/>
    <s v="No"/>
    <s v="Yes"/>
    <n v="36"/>
    <n v="1"/>
    <n v="0"/>
    <n v="1"/>
    <n v="0.5"/>
    <n v="0.5"/>
    <n v="0.4"/>
    <n v="0.6"/>
  </r>
  <r>
    <s v="H3567"/>
    <s v="IBIS BUDGET LORIENT CAUDAN"/>
    <x v="4"/>
    <s v="15/06/2001"/>
    <n v="38"/>
    <x v="4"/>
    <s v="284 RUE JEAN BAPTISTE MARTENOT"/>
    <s v="ZA LANN SÉVELIN"/>
    <s v="-"/>
    <x v="65"/>
    <s v="CAUDAN"/>
    <s v="-3.341045"/>
    <s v="47.785332"/>
    <s v="Centre ville"/>
    <d v="2025-01-01T00:00:00"/>
    <d v="2025-01-01T00:00:00"/>
    <s v="Franchisee"/>
    <s v="OLIVIER SAVOUREL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68"/>
    <s v="IBIS BUDGET REIMS THILLOIS"/>
    <x v="4"/>
    <s v="15/06/2001"/>
    <n v="80"/>
    <x v="0"/>
    <s v="PARC MILLÉSIME RN 31"/>
    <s v="-"/>
    <s v="-"/>
    <x v="389"/>
    <s v="THILLOIS"/>
    <s v="3.967942"/>
    <s v="49.254669"/>
    <s v="Centre ville"/>
    <d v="2025-01-01T00:00:00"/>
    <d v="2025-01-01T00:00:00"/>
    <s v="Franchisee"/>
    <s v="ARNAUD FAYET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76"/>
    <s v="IBIS ARCACHON LA TESTE"/>
    <x v="0"/>
    <s v="01/06/2001"/>
    <n v="75"/>
    <x v="0"/>
    <s v="1 IMPASSE DU BOSQUET"/>
    <s v="RN 250"/>
    <s v="-"/>
    <x v="390"/>
    <s v="LA TESTE DE BUCH"/>
    <s v="-1.140776"/>
    <s v="44.617035"/>
    <s v="Centre ville"/>
    <d v="2025-01-01T00:00:00"/>
    <d v="2025-01-01T00:00:00"/>
    <s v="Franchisee"/>
    <s v="BOISSEE FINANCES"/>
    <s v="Jerome LANTERNIER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3577"/>
    <s v="IBIS PARIS BASTILLE ST ANTOINE"/>
    <x v="0"/>
    <s v="12/07/1988"/>
    <n v="71"/>
    <x v="0"/>
    <s v="13 RUE TROUSSEAU"/>
    <s v="-"/>
    <s v="-"/>
    <x v="251"/>
    <s v="PARIS"/>
    <s v="2.378806"/>
    <s v="48.851689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3580"/>
    <s v="IBIS BUDGET ARLES PALAIS CONGRES"/>
    <x v="4"/>
    <s v="13/04/2001"/>
    <n v="64"/>
    <x v="0"/>
    <s v="AVENUE DE LA 1ÈRE DIVISION"/>
    <s v="FRANÇAISE LIBRE"/>
    <s v="-"/>
    <x v="124"/>
    <s v="ARLES"/>
    <s v="4.619501"/>
    <s v="43.670983"/>
    <s v="Centre ville"/>
    <d v="2025-01-01T00:00:00"/>
    <d v="2025-01-01T00:00:00"/>
    <s v="Franchisee"/>
    <s v="SOMNOO"/>
    <s v="Alexandra LAUNAY"/>
    <x v="0"/>
    <n v="1.5"/>
    <n v="0.7"/>
    <s v="January"/>
    <n v="0.6"/>
    <s v="August"/>
    <n v="0.8"/>
    <x v="1"/>
    <x v="1"/>
    <s v="No"/>
    <s v="Yes"/>
    <s v="-"/>
    <s v="-"/>
    <n v="0"/>
    <n v="1"/>
    <n v="0.5"/>
    <n v="0.5"/>
    <n v="0.4"/>
    <n v="0.6"/>
  </r>
  <r>
    <s v="H3581"/>
    <s v="IBIS BUDGET NANTES SAINTE LUCE"/>
    <x v="4"/>
    <s v="23/04/2001"/>
    <n v="58"/>
    <x v="0"/>
    <s v="4 RUE GUSTAVE EIFFEL"/>
    <s v="-"/>
    <s v="-"/>
    <x v="391"/>
    <s v="NANTES"/>
    <s v="-1.485981"/>
    <s v="47.263181"/>
    <s v="Centre ville"/>
    <d v="2025-01-01T00:00:00"/>
    <d v="2025-01-01T00:00:00"/>
    <s v="Franchisee"/>
    <s v="GROUPE KERDONIS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82"/>
    <s v="IBIS BUDGET VANNES PLOEREN"/>
    <x v="4"/>
    <s v="09/04/2001"/>
    <n v="66"/>
    <x v="0"/>
    <s v="24 RUE EDGARD TOUFFREAU"/>
    <s v="-"/>
    <s v="-"/>
    <x v="392"/>
    <s v="PLOEREN"/>
    <s v="-2.800921"/>
    <s v="47.66151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83"/>
    <s v="IBIS BUDGET COURBEVOIE PARIS"/>
    <x v="4"/>
    <s v="25/04/2001"/>
    <n v="161"/>
    <x v="3"/>
    <s v="37 QUAI DU PRÉSIDENT PAUL DOUMER"/>
    <s v="ACCÈS PIÉTON : 60 RUE VICTOR HUGO"/>
    <s v="-"/>
    <x v="146"/>
    <s v="COURBEVOIE"/>
    <s v="2.261811"/>
    <s v="48.895512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86"/>
    <s v="IBIS BUDGET POISSY ORGEVAL"/>
    <x v="4"/>
    <s v="02/04/2001"/>
    <n v="50"/>
    <x v="0"/>
    <s v="482 ROUTE DES QUARANTE SOUS"/>
    <s v="-"/>
    <s v="-"/>
    <x v="35"/>
    <s v="ORGEVAL"/>
    <s v="1.9945765"/>
    <s v="48.9253755"/>
    <s v="Centre ville"/>
    <d v="2025-01-01T00:00:00"/>
    <d v="2025-01-01T00:00:00"/>
    <s v="Managed"/>
    <s v="ACCORINVEST FRANCE"/>
    <s v="Laurence PEREIRA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587"/>
    <s v="IBIS BUDGET HAGUENAU"/>
    <x v="4"/>
    <s v="23/04/2001"/>
    <n v="66"/>
    <x v="0"/>
    <s v="2 BIS CHEMIN DE LA SANDLACH"/>
    <s v="-"/>
    <s v="-"/>
    <x v="306"/>
    <s v="HAGUENAU"/>
    <s v="7.756412"/>
    <s v="48.828467"/>
    <s v="Centre ville"/>
    <d v="2025-01-01T00:00:00"/>
    <d v="2025-01-01T00:00:00"/>
    <s v="Franchisee"/>
    <s v="GAETAN LOEB"/>
    <s v="Christophe RUQUEBOEUCHE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3589"/>
    <s v="IBIS BUDGET RUEIL MALMAISON"/>
    <x v="4"/>
    <s v="01/01/2003"/>
    <n v="144"/>
    <x v="1"/>
    <s v="147 BOULEVARD NATIONAL"/>
    <s v="-"/>
    <s v="-"/>
    <x v="255"/>
    <s v="RUEIL MALMAISON"/>
    <s v="2.178513"/>
    <s v="48.890933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684"/>
    <s v="IBIS BUDGET NANCY CENTRE"/>
    <x v="4"/>
    <s v="30/06/2001"/>
    <n v="80"/>
    <x v="0"/>
    <s v="4 ALLÉE DU CHANOINE DRIOTON"/>
    <s v="-"/>
    <s v="-"/>
    <x v="194"/>
    <s v="NANCY"/>
    <s v="6.195238"/>
    <s v="48.692802"/>
    <s v="Centre ville"/>
    <d v="2025-01-01T00:00:00"/>
    <d v="2025-01-01T00:00:00"/>
    <s v="Franchisee"/>
    <s v="FAMILLE GIRARD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685"/>
    <s v="IBIS BUDGET BAYONNE"/>
    <x v="4"/>
    <s v="17/07/2001"/>
    <n v="84"/>
    <x v="0"/>
    <s v="6 AVENUE DU GRAND BASQUE"/>
    <s v="RN 117"/>
    <s v="ZA SAINT FRÉDÉRIC"/>
    <x v="276"/>
    <s v="BAYONNE"/>
    <s v="-1.457274"/>
    <s v="43.48896"/>
    <s v="Centre ville"/>
    <d v="2025-01-01T00:00:00"/>
    <d v="2025-01-01T00:00:00"/>
    <s v="Franchisee"/>
    <s v="PATRICK ARROSTEGUY"/>
    <s v="Jerome LANTERNIER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3686"/>
    <s v="IBIS BUDGET RENNES CHANTEPIE"/>
    <x v="4"/>
    <s v="01/07/2001"/>
    <n v="64"/>
    <x v="0"/>
    <s v="3 RUE DU VIEUX JARDIN"/>
    <s v="ZA DES LOGETTES"/>
    <s v="-"/>
    <x v="393"/>
    <s v="CHANTEPIE"/>
    <s v="-1.624969"/>
    <s v="48.084591"/>
    <s v="Centre ville"/>
    <d v="2025-01-01T00:00:00"/>
    <d v="2025-01-01T00:00:00"/>
    <s v="Franchisee"/>
    <s v="GROUPE KERDONIS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689"/>
    <s v="IBIS BUDGET CARCASSONNE LA CITE"/>
    <x v="4"/>
    <s v="01/07/2001"/>
    <n v="75"/>
    <x v="0"/>
    <s v="211 AVENUE DU GÉNÉRAL LECLERC"/>
    <s v="-"/>
    <s v="-"/>
    <x v="95"/>
    <s v="CARCASSONNE"/>
    <s v="2.378756"/>
    <s v="43.20775"/>
    <s v="Centre ville"/>
    <d v="2025-01-01T00:00:00"/>
    <d v="2025-01-01T00:00:00"/>
    <s v="Franchisee"/>
    <s v="FAMILLE PHILIP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690"/>
    <s v="IBIS BUDGET CABOURG DIVES/MER"/>
    <x v="4"/>
    <s v="01/07/2001"/>
    <n v="75"/>
    <x v="0"/>
    <s v="PROMENADES DE LA DIVES"/>
    <s v="DERRIÈRE MAGASIN LIDL"/>
    <s v="-"/>
    <x v="394"/>
    <s v="DIVES SUR MER"/>
    <s v="-0.109469"/>
    <s v="49.286377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691"/>
    <s v="IBIS BUDGET SELESTAT"/>
    <x v="4"/>
    <s v="15/10/2002"/>
    <n v="60"/>
    <x v="0"/>
    <s v="103 ROUTE DE COLMAR À SELESTAT"/>
    <s v="ZA SELESTAT"/>
    <s v="CARREFOUR RD424 - RN83"/>
    <x v="395"/>
    <s v="SELESTAT"/>
    <s v="7.437127"/>
    <s v="48.248863"/>
    <s v="Centre ville"/>
    <d v="2025-01-01T00:00:00"/>
    <d v="2025-01-01T00:00:00"/>
    <s v="Franchisee"/>
    <s v="GROUPE HELMLINGER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724"/>
    <s v="IBIS NICE CENTRE NOTRE-DAME"/>
    <x v="0"/>
    <s v="01/01/1930"/>
    <n v="52"/>
    <x v="0"/>
    <s v="41 RUE LAMARTINE"/>
    <s v="-"/>
    <s v="-"/>
    <x v="14"/>
    <s v="NICE"/>
    <s v="7.267038"/>
    <s v="43.70498"/>
    <s v="Centre ville"/>
    <d v="2025-01-01T00:00:00"/>
    <d v="2025-01-01T00:00:00"/>
    <s v="Franchisee"/>
    <s v="DIDIER WEBRE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739"/>
    <s v="IBIS BUDGET LYON GERLAND"/>
    <x v="4"/>
    <s v="27/10/2003"/>
    <n v="105"/>
    <x v="1"/>
    <s v="1 BOULEVARD JULES CARTERET"/>
    <s v="AVENUE TONY GARNIER"/>
    <s v="-"/>
    <x v="83"/>
    <s v="LYON"/>
    <s v="4.840979"/>
    <s v="45.726093"/>
    <s v="Centre ville"/>
    <d v="2025-01-01T00:00:00"/>
    <d v="2025-01-01T00:00:00"/>
    <s v="Franchisee"/>
    <s v="VAILLANCE HOSPITALITY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3740"/>
    <s v="IBIS STYLES PONTIVY CENTRE"/>
    <x v="2"/>
    <s v="22/04/2002"/>
    <n v="45"/>
    <x v="4"/>
    <s v="LOTISSEMENT SAINT NIEL"/>
    <s v="97 AVENUE DE LA LIBERATION"/>
    <s v="-"/>
    <x v="396"/>
    <s v="PONTIVY"/>
    <s v="-2.943016"/>
    <s v="48.070201"/>
    <s v="Centre ville"/>
    <d v="2025-01-01T00:00:00"/>
    <d v="2025-01-01T00:00:00"/>
    <s v="Franchisee"/>
    <s v="GROUPE VIGILIS"/>
    <s v="Jean-Luc RABAULT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4979"/>
    <s v="IBIS BUDGET CAEN GARE"/>
    <x v="4"/>
    <s v="03/12/2001"/>
    <n v="67"/>
    <x v="0"/>
    <s v="16  PLACE DE LA GARE"/>
    <s v="-"/>
    <s v="-"/>
    <x v="45"/>
    <s v="CAEN"/>
    <s v="-0.348535"/>
    <s v="49.175595"/>
    <s v="Centre ville"/>
    <d v="2025-01-01T00:00:00"/>
    <d v="2025-01-01T00:00:00"/>
    <s v="Franchisee"/>
    <s v="GROUPE SD2P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4981"/>
    <s v="IBIS BUDGET CERGY ST CHRISTOPHE"/>
    <x v="4"/>
    <s v="10/12/2001"/>
    <n v="66"/>
    <x v="0"/>
    <s v="1 ALLEE DU PROMENOIR"/>
    <s v="RUE DU PETIT ALBI"/>
    <s v="PA D'HORLOGE BP 68289"/>
    <x v="397"/>
    <s v="CERGY PONTOISE"/>
    <s v="2.037823"/>
    <s v="49.055878"/>
    <s v="Centre ville"/>
    <d v="2025-01-01T00:00:00"/>
    <d v="2025-01-01T00:00:00"/>
    <s v="Franchisee"/>
    <s v="SOMNOO"/>
    <s v="Sophie CHOLLON"/>
    <x v="0"/>
    <n v="1.5"/>
    <n v="0.7"/>
    <s v="January"/>
    <n v="0.6"/>
    <s v="August"/>
    <n v="0.8"/>
    <x v="1"/>
    <x v="1"/>
    <s v="No"/>
    <s v="Yes"/>
    <s v="-"/>
    <n v="1"/>
    <n v="0"/>
    <s v="-"/>
    <n v="0.5"/>
    <n v="0.5"/>
    <n v="0.4"/>
    <n v="0.6"/>
  </r>
  <r>
    <s v="H4982"/>
    <s v="IBIS BUDGET PARIS LA VILLETTE"/>
    <x v="4"/>
    <s v="05/12/2001"/>
    <n v="292"/>
    <x v="5"/>
    <s v="57-63 AVENUE JEAN JAURÈS"/>
    <s v="-"/>
    <s v="-"/>
    <x v="252"/>
    <s v="PARIS"/>
    <s v="2.375807"/>
    <s v="48.884269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4986"/>
    <s v="IBIS ORANGE SUD"/>
    <x v="0"/>
    <s v="04/07/2002"/>
    <n v="77"/>
    <x v="0"/>
    <s v="ZAC DU COUDOULET"/>
    <s v="SORTIE PÉAGE PORTE SUD"/>
    <s v="ROUTE DE JONQUIÈRES"/>
    <x v="178"/>
    <s v="ORANGE (FR)"/>
    <s v="4.848919"/>
    <s v="44.111916"/>
    <s v="Centre ville"/>
    <d v="2025-01-01T00:00:00"/>
    <d v="2025-01-01T00:00:00"/>
    <s v="Franchisee"/>
    <s v="FAMILLE NOGIER"/>
    <s v="Jean-Claude FOUCHET"/>
    <x v="0"/>
    <n v="1.5"/>
    <n v="0.7"/>
    <s v="January"/>
    <n v="0.6"/>
    <s v="August"/>
    <n v="0.8"/>
    <x v="0"/>
    <x v="0"/>
    <s v="No"/>
    <s v="Yes"/>
    <s v="-"/>
    <n v="1"/>
    <n v="0"/>
    <n v="1"/>
    <n v="0.5"/>
    <n v="0.5"/>
    <n v="0.4"/>
    <n v="0.6"/>
  </r>
  <r>
    <s v="H4987"/>
    <s v="NOVOTEL PARIS 17"/>
    <x v="3"/>
    <s v="14/06/2002"/>
    <n v="140"/>
    <x v="1"/>
    <s v="34 AVENUE DE LA PORTE D'ASNIÈRES"/>
    <s v="-"/>
    <s v="-"/>
    <x v="20"/>
    <s v="PARIS"/>
    <s v="2.301846"/>
    <s v="48.891774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0"/>
    <x v="0"/>
    <s v="No"/>
    <s v="Yes"/>
    <n v="10"/>
    <n v="1"/>
    <n v="0"/>
    <s v="-"/>
    <n v="0.5"/>
    <n v="0.5"/>
    <n v="0.4"/>
    <n v="0.6"/>
  </r>
  <r>
    <s v="H5023"/>
    <s v="IBIS BUDGET TOURS CENTRE GARE"/>
    <x v="4"/>
    <s v="11/02/2002"/>
    <n v="95"/>
    <x v="0"/>
    <s v="27 RUE EDOUARD VAILLANT"/>
    <s v="-"/>
    <s v="-"/>
    <x v="259"/>
    <s v="TOURS"/>
    <s v="0.6975"/>
    <s v="47.386944"/>
    <s v="Centre ville"/>
    <d v="2025-01-01T00:00:00"/>
    <d v="2025-01-01T00:00:00"/>
    <s v="Franchisee"/>
    <s v="FERRE HOTELS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24"/>
    <s v="IBIS BUDGET BOLLENE"/>
    <x v="4"/>
    <s v="13/02/2002"/>
    <n v="60"/>
    <x v="0"/>
    <s v="2875 AVENUE JEAN MOULIN"/>
    <s v="-"/>
    <s v="-"/>
    <x v="398"/>
    <s v="BOLLENE"/>
    <s v="4.751989"/>
    <s v="44.289997"/>
    <s v="Centre ville"/>
    <d v="2025-01-01T00:00:00"/>
    <d v="2025-01-01T00:00:00"/>
    <s v="Franchisee"/>
    <s v="FAMILLE LE CARDIET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33"/>
    <s v="IBIS BUDGET AIX LES BAINS NORD"/>
    <x v="4"/>
    <s v="15/02/2002"/>
    <n v="58"/>
    <x v="0"/>
    <s v="51 RUE ST ELOI"/>
    <s v="ECHANGEUR NORD"/>
    <s v="-"/>
    <x v="364"/>
    <s v="AIX LES BAINS"/>
    <s v="5.925612"/>
    <s v="45.718144"/>
    <s v="Centre ville"/>
    <d v="2025-01-01T00:00:00"/>
    <d v="2025-01-01T00:00:00"/>
    <s v="Franchisee"/>
    <s v="C.F.H"/>
    <s v="Bello DIALLO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5035"/>
    <s v="IBIS BUDGET ALES SAINT CHRISTOL"/>
    <x v="4"/>
    <s v="01/04/2002"/>
    <n v="44"/>
    <x v="4"/>
    <s v="CHEMIN DE LA FERME"/>
    <s v="-"/>
    <s v="-"/>
    <x v="399"/>
    <s v="ALES"/>
    <s v="4.07381"/>
    <s v="44.083568"/>
    <s v="Centre ville"/>
    <d v="2025-01-01T00:00:00"/>
    <d v="2025-01-01T00:00:00"/>
    <s v="Franchisee"/>
    <s v="FAMILLE PHILIP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36"/>
    <s v="IBIS BUDGET ARLES SUD FOURCHON"/>
    <x v="4"/>
    <s v="01/09/2002"/>
    <n v="56"/>
    <x v="0"/>
    <s v="RUE CHARLIE CHAPLIN"/>
    <s v="ZONE COMMERCIALE FOURCHON"/>
    <s v="RUE CHARLIE CHAPLIN"/>
    <x v="124"/>
    <s v="ARLES"/>
    <s v="4.633644"/>
    <s v="43.6649"/>
    <s v="Centre ville"/>
    <d v="2025-01-01T00:00:00"/>
    <d v="2025-01-01T00:00:00"/>
    <s v="Franchisee"/>
    <s v="EMMANUEL SANTIAGO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37"/>
    <s v="IBIS BUDGET PARIS PTE MONTREUIL"/>
    <x v="4"/>
    <s v="15/11/2002"/>
    <n v="150"/>
    <x v="3"/>
    <s v="278-280 RUE DE PARIS"/>
    <s v="-"/>
    <s v="-"/>
    <x v="400"/>
    <s v="MONTREUIL"/>
    <s v="2.415213"/>
    <s v="48.854331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38"/>
    <s v="IBIS DAUMESNIL PORTE DOREE"/>
    <x v="0"/>
    <s v="01/01/1930"/>
    <n v="39"/>
    <x v="4"/>
    <s v="111 BOULEVARD PONIATOWSKI"/>
    <s v="-"/>
    <s v="-"/>
    <x v="183"/>
    <s v="PARIS"/>
    <s v="2.405626"/>
    <s v="48.834978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39"/>
    <s v="IBIS LA BRESSE GERARDMER"/>
    <x v="0"/>
    <s v="01/01/2002"/>
    <n v="45"/>
    <x v="4"/>
    <s v="7 RUE DE LA CLAIRIE"/>
    <s v="-"/>
    <s v="-"/>
    <x v="401"/>
    <s v="LA BRESSE"/>
    <s v="6.87534"/>
    <s v="48.003033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5040"/>
    <s v="IBIS ORLY CHEVILLY TRAM 7"/>
    <x v="0"/>
    <s v="01/01/2002"/>
    <n v="101"/>
    <x v="1"/>
    <s v="72 AVENUE DE STALINGRAD"/>
    <s v="-"/>
    <s v="-"/>
    <x v="402"/>
    <s v="CHEVILLY LARUE"/>
    <s v="2.36748"/>
    <s v="48.776383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041"/>
    <s v="IBIS BUDGET PONTAULT COMBAULT"/>
    <x v="4"/>
    <s v="01/06/2002"/>
    <n v="126"/>
    <x v="1"/>
    <s v="PARC DES ACTIVITÉS DES ARPENTS"/>
    <s v="RUE DES CYGNES"/>
    <s v="-"/>
    <x v="403"/>
    <s v="PONTAULT COMBAULT"/>
    <s v="2.589046"/>
    <s v="48.77803"/>
    <s v="Centre ville"/>
    <d v="2025-01-01T00:00:00"/>
    <d v="2025-01-01T00:00:00"/>
    <s v="Franchisee"/>
    <s v="ARNAUD FAYET"/>
    <s v="Benoit DUCH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5042"/>
    <s v="IBIS BUDGET BREST SUD PLOUGASTEL"/>
    <x v="4"/>
    <s v="27/05/2002"/>
    <n v="47"/>
    <x v="4"/>
    <s v="RUE ALAIN COLAS"/>
    <s v="ZAC DE TY MENEZ"/>
    <s v="-"/>
    <x v="404"/>
    <s v="BREST"/>
    <s v="-4.351724"/>
    <s v="48.384327"/>
    <s v="Centre ville"/>
    <d v="2025-01-01T00:00:00"/>
    <d v="2025-01-01T00:00:00"/>
    <s v="Franchisee"/>
    <s v="GROUPE KERDONIS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47"/>
    <s v="IBIS BUDGET MARNE LA VALLEE"/>
    <x v="4"/>
    <s v="28/03/2007"/>
    <n v="70"/>
    <x v="0"/>
    <s v="6 RUE DE LA GARE"/>
    <s v="-"/>
    <s v="-"/>
    <x v="405"/>
    <s v="MONTEVRAIN"/>
    <s v="2.593597"/>
    <s v="48.890561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5051"/>
    <s v="IBIS BUDGET AUCH"/>
    <x v="4"/>
    <s v="01/05/2002"/>
    <n v="55"/>
    <x v="0"/>
    <s v="AVENUE JEAN JAURÈS"/>
    <s v="ZONE D'ENDOUMINGUE"/>
    <s v="-"/>
    <x v="382"/>
    <s v="AUCH"/>
    <s v="0.597044"/>
    <s v="43.663867"/>
    <s v="Centre ville"/>
    <d v="2025-01-01T00:00:00"/>
    <d v="2025-01-01T00:00:00"/>
    <s v="Franchisee"/>
    <s v="NATHALIE CHEN-RAKOTOMALALA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57"/>
    <s v="IBIS BUDGET MONTPELLIER CENTRE"/>
    <x v="4"/>
    <s v="03/05/2002"/>
    <n v="81"/>
    <x v="0"/>
    <s v="25 RUE DES FRÈRES LUMIÈRE"/>
    <s v="ZAC BLAISE PASCAL"/>
    <s v="-"/>
    <x v="92"/>
    <s v="MONTPELLIER"/>
    <s v="3.905826"/>
    <s v="43.610702"/>
    <s v="Centre ville"/>
    <d v="2025-01-01T00:00:00"/>
    <d v="2025-01-01T00:00:00"/>
    <s v="Franchisee"/>
    <s v="FAMILLE BANCAREL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60"/>
    <s v="NOVOTEL PARIS MONTPARNASSE"/>
    <x v="3"/>
    <s v="01/01/2006"/>
    <n v="199"/>
    <x v="3"/>
    <s v="17 RUE DU COTENTIN"/>
    <s v="-"/>
    <s v="-"/>
    <x v="173"/>
    <s v="PARIS"/>
    <s v="2.315204"/>
    <s v="48.838455"/>
    <s v="Centre ville"/>
    <d v="2025-01-01T00:00:00"/>
    <d v="2025-01-01T00:00:00"/>
    <s v="Managed"/>
    <s v="ACCORINVEST FRANCE"/>
    <s v="Philippe JAUSSELY"/>
    <x v="0"/>
    <n v="1.5"/>
    <n v="0.7"/>
    <s v="January"/>
    <n v="0.6"/>
    <s v="August"/>
    <n v="0.8"/>
    <x v="0"/>
    <x v="2"/>
    <s v="No"/>
    <s v="Yes"/>
    <n v="3"/>
    <n v="1"/>
    <n v="0"/>
    <s v="-"/>
    <n v="0.5"/>
    <n v="0.5"/>
    <n v="0.4"/>
    <n v="0.6"/>
  </r>
  <r>
    <s v="H5066"/>
    <s v="IBIS BUDGET LONS LE SAUNIER"/>
    <x v="4"/>
    <s v="01/07/2002"/>
    <n v="58"/>
    <x v="0"/>
    <s v="40 RUE EN BERCAILLE"/>
    <s v="DÉPARTEMENTALE 1083"/>
    <s v="-"/>
    <x v="406"/>
    <s v="LONS LE SAUNIER"/>
    <s v="5.558162"/>
    <s v="46.693855"/>
    <s v="Centre ville"/>
    <d v="2025-01-01T00:00:00"/>
    <d v="2025-01-01T00:00:00"/>
    <s v="Franchisee"/>
    <s v="SOMNOO"/>
    <s v="Eric MARAIS"/>
    <x v="0"/>
    <n v="1.5"/>
    <n v="0.7"/>
    <s v="January"/>
    <n v="0.6"/>
    <s v="August"/>
    <n v="0.8"/>
    <x v="1"/>
    <x v="1"/>
    <s v="No"/>
    <s v="Yes"/>
    <s v="-"/>
    <s v="-"/>
    <n v="1"/>
    <s v="-"/>
    <n v="0.5"/>
    <n v="0.5"/>
    <n v="0.4"/>
    <n v="0.6"/>
  </r>
  <r>
    <s v="H5067"/>
    <s v="IBIS BUDGET BORDEAUX ST JEAN"/>
    <x v="4"/>
    <s v="04/06/2006"/>
    <n v="140"/>
    <x v="1"/>
    <s v="60 RUE EUGÈNE LE ROY"/>
    <s v="-"/>
    <s v="-"/>
    <x v="267"/>
    <s v="BORDEAUX"/>
    <s v="-0.558058"/>
    <s v="44.825897"/>
    <s v="Centre ville"/>
    <d v="2025-01-01T00:00:00"/>
    <d v="2025-01-01T00:00:00"/>
    <s v="Franchisee"/>
    <s v="BOISSEE FINANCES"/>
    <s v="Jerome LANTERNIER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5069"/>
    <s v="IBIS BUDGET ORLY RUNGIS"/>
    <x v="4"/>
    <s v="20/11/2002"/>
    <n v="98"/>
    <x v="0"/>
    <s v="7 RUE DU PONT DES HALLES"/>
    <s v="-"/>
    <s v="-"/>
    <x v="407"/>
    <s v="RUNGIS"/>
    <s v="2.348418"/>
    <s v="48.756018"/>
    <s v="Centre ville"/>
    <d v="2025-01-01T00:00:00"/>
    <d v="2025-01-01T00:00:00"/>
    <s v="Franchisee"/>
    <s v="SO ECO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71"/>
    <s v="IBIS BUDGET RENNES CESSON"/>
    <x v="4"/>
    <s v="01/07/1992"/>
    <n v="47"/>
    <x v="4"/>
    <s v="ZA LA RIGOURDIÈRE"/>
    <s v="-"/>
    <s v="-"/>
    <x v="82"/>
    <s v="CESSON SEVIGNE"/>
    <s v="-1.587825"/>
    <s v="48.112818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75"/>
    <s v="IBIS BUDGET LYON EUREXPO"/>
    <x v="4"/>
    <s v="30/06/2001"/>
    <n v="69"/>
    <x v="0"/>
    <s v="22 AVENUE DES FRÈRES MONGOLFIER"/>
    <s v="-"/>
    <s v="-"/>
    <x v="408"/>
    <s v="CHASSIEU"/>
    <s v="4.968825"/>
    <s v="45.725954"/>
    <s v="Centre ville"/>
    <d v="2025-01-01T00:00:00"/>
    <d v="2025-01-01T00:00:00"/>
    <s v="Franchisee"/>
    <s v="FAMILLE THIEBAUT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76"/>
    <s v="IBIS BUDGET RENNES MONTGERMONT"/>
    <x v="4"/>
    <s v="01/02/2001"/>
    <n v="74"/>
    <x v="0"/>
    <s v="RUE EDISON"/>
    <s v="ZA DÉCOPARC"/>
    <s v="-"/>
    <x v="409"/>
    <s v="MONTGERMONT"/>
    <s v="-1.704748"/>
    <s v="48.15641"/>
    <s v="Centre ville"/>
    <d v="2025-01-01T00:00:00"/>
    <d v="2025-01-01T00:00:00"/>
    <s v="Franchisee"/>
    <s v="KER HOSPITALITY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78"/>
    <s v="IBIS BUDGET CLERMONTFERRAND NORD"/>
    <x v="4"/>
    <s v="03/10/2002"/>
    <n v="56"/>
    <x v="0"/>
    <s v="RUE LOUIS ARMSTRONG"/>
    <s v="-"/>
    <s v="-"/>
    <x v="410"/>
    <s v="RIOM"/>
    <s v="3.137337"/>
    <s v="45.895579"/>
    <s v="Centre ville"/>
    <d v="2025-01-01T00:00:00"/>
    <d v="2025-01-01T00:00:00"/>
    <s v="Franchisee"/>
    <s v="ROEBLING CAPITAL - MERGUEB REDAOUIA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79"/>
    <s v="IBIS BUDGET COLMAR CENTRE VILLE"/>
    <x v="4"/>
    <s v="03/01/2002"/>
    <n v="74"/>
    <x v="0"/>
    <s v="15 RUE STANISLAS"/>
    <s v="-"/>
    <s v="-"/>
    <x v="52"/>
    <s v="COLMAR"/>
    <s v="7.352375"/>
    <s v="48.079728"/>
    <s v="Centre ville"/>
    <d v="2025-01-01T00:00:00"/>
    <d v="2025-01-01T00:00:00"/>
    <s v="Franchisee"/>
    <s v="SOMNOO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80"/>
    <s v="IBIS BUDGET CONCARNEAU"/>
    <x v="4"/>
    <s v="03/01/2003"/>
    <n v="76"/>
    <x v="0"/>
    <s v="RUE DE LA CROIX NEUVE"/>
    <s v="-"/>
    <s v="-"/>
    <x v="411"/>
    <s v="CONCARNEAU"/>
    <s v="-3.909267"/>
    <s v="47.900345"/>
    <s v="Centre ville"/>
    <d v="2025-01-01T00:00:00"/>
    <d v="2025-01-01T00:00:00"/>
    <s v="Franchisee"/>
    <s v="FAMILLE LAME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84"/>
    <s v="IBIS BUDGET ISSOIRE"/>
    <x v="4"/>
    <s v="13/01/2004"/>
    <n v="75"/>
    <x v="0"/>
    <s v="LE GRAND MAS"/>
    <s v="4 AVENUE DU DOCTEUR BIENFAIT"/>
    <s v="-"/>
    <x v="412"/>
    <s v="ISSOIRE"/>
    <s v="3.270424"/>
    <s v="45.550899"/>
    <s v="Centre ville"/>
    <d v="2025-01-01T00:00:00"/>
    <d v="2025-01-01T00:00:00"/>
    <s v="Franchisee"/>
    <s v="JEAN MARIE FRAGNE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85"/>
    <s v="IBIS BUDGET LILLE EST"/>
    <x v="4"/>
    <s v="30/06/2002"/>
    <n v="73"/>
    <x v="0"/>
    <s v="9 BOULEVARD DE MONS"/>
    <s v="ZAC DU TIR À LOQUES"/>
    <s v="-"/>
    <x v="413"/>
    <s v="VILLENEUVE D'ASCQ"/>
    <s v="3.143145"/>
    <s v="50.643341"/>
    <s v="Centre ville"/>
    <d v="2025-01-01T00:00:00"/>
    <d v="2025-01-01T00:00:00"/>
    <s v="Franchisee"/>
    <s v="FAMILLE FARINES"/>
    <s v="Muriel JACQUELINE"/>
    <x v="0"/>
    <n v="1.5"/>
    <n v="0.7"/>
    <s v="January"/>
    <n v="0.6"/>
    <s v="August"/>
    <n v="0.8"/>
    <x v="1"/>
    <x v="1"/>
    <s v="No"/>
    <s v="Yes"/>
    <s v="-"/>
    <n v="3"/>
    <n v="0"/>
    <s v="-"/>
    <n v="0.5"/>
    <n v="0.5"/>
    <n v="0.4"/>
    <n v="0.6"/>
  </r>
  <r>
    <s v="H5086"/>
    <s v="IBIS BUDGET LYON EST CHAPONNAY"/>
    <x v="4"/>
    <s v="28/01/2004"/>
    <n v="63"/>
    <x v="0"/>
    <s v="PARC AFFAIRES VALLÉE DE L'OZON"/>
    <s v="125 RUE DES FRÈRES VOISIN"/>
    <s v="ZAC DU CHAPOTIN"/>
    <x v="414"/>
    <s v="LYON"/>
    <s v="4.919815"/>
    <s v="45.647753"/>
    <s v="Centre ville"/>
    <d v="2025-01-01T00:00:00"/>
    <d v="2025-01-01T00:00:00"/>
    <s v="Franchisee"/>
    <s v="C.F.H"/>
    <s v="Katia GARNIER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5087"/>
    <s v="IBIS BUDGET LYON VILLEURBANNE"/>
    <x v="4"/>
    <s v="26/06/2002"/>
    <n v="138"/>
    <x v="1"/>
    <s v="3 RUE DU 8 MAI 1945"/>
    <s v="-"/>
    <s v="-"/>
    <x v="274"/>
    <s v="VILLEURBANNE"/>
    <s v="4.890205"/>
    <s v="45.782383"/>
    <s v="Centre ville"/>
    <d v="2025-01-01T00:00:00"/>
    <d v="2025-01-01T00:00:00"/>
    <s v="Franchisee"/>
    <s v="SOHOMA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89"/>
    <s v="IBIS BUDGET MONTELIMAR"/>
    <x v="4"/>
    <s v="01/07/2003"/>
    <n v="69"/>
    <x v="0"/>
    <s v="14 AVENUE DION BOUTON"/>
    <s v="PROCHE GUSTAVE EIFFEL"/>
    <s v="-"/>
    <x v="415"/>
    <s v="MONTELIMAR"/>
    <s v="4.732554"/>
    <s v="44.543803"/>
    <s v="Centre ville"/>
    <d v="2025-01-01T00:00:00"/>
    <d v="2025-01-01T00:00:00"/>
    <s v="Franchisee"/>
    <s v="C.F.H"/>
    <s v="Bello DIALLO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5090"/>
    <s v="IBIS BUDGET ORLY CHEVILLY TRAM 7"/>
    <x v="4"/>
    <s v="29/10/2002"/>
    <n v="113"/>
    <x v="1"/>
    <s v="72-78 AVENUE DE STALINGRAD"/>
    <s v="RN 7"/>
    <s v="-"/>
    <x v="402"/>
    <s v="CHEVILLY LARUE"/>
    <s v="2.367394"/>
    <s v="48.776507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093"/>
    <s v="IBIS BUDGET VELIZY"/>
    <x v="4"/>
    <s v="17/02/2003"/>
    <n v="123"/>
    <x v="1"/>
    <s v="1 RUE DU PETIT CLAMART"/>
    <s v="-"/>
    <s v="-"/>
    <x v="416"/>
    <s v="VELIZY"/>
    <s v="2.225959"/>
    <s v="48.782125"/>
    <s v="Centre ville"/>
    <d v="2025-01-01T00:00:00"/>
    <d v="2025-01-01T00:00:00"/>
    <s v="Franchisee"/>
    <s v="SO ECO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95"/>
    <s v="IBIS BUDGET AEROPORT MARSEILLE"/>
    <x v="4"/>
    <s v="01/07/2002"/>
    <n v="117"/>
    <x v="1"/>
    <s v="LES SALINS"/>
    <s v="B.P. 116 - CEDEX"/>
    <s v="-"/>
    <x v="212"/>
    <s v="MARSEILLE"/>
    <s v="5.225887"/>
    <s v="43.446026"/>
    <s v="Centre ville"/>
    <d v="2025-01-01T00:00:00"/>
    <d v="2025-01-01T00:00:00"/>
    <s v="Franchisee"/>
    <s v="JEAN-LOUIS MEYER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096"/>
    <s v="IBIS BUDGET TOULON CENTRE"/>
    <x v="4"/>
    <s v="23/09/2003"/>
    <n v="133"/>
    <x v="1"/>
    <s v="200 AVENUE FRANKLIN ROOSEVELT"/>
    <s v="-"/>
    <s v="-"/>
    <x v="310"/>
    <s v="TOULON"/>
    <s v="5.939099"/>
    <s v="43.119906"/>
    <s v="Centre ville"/>
    <d v="2025-01-01T00:00:00"/>
    <d v="2025-01-01T00:00:00"/>
    <s v="Franchisee"/>
    <s v="CASTELLET HOSPITALITY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167"/>
    <s v="IBIS STYLES COGNAC"/>
    <x v="2"/>
    <s v="01/01/1985"/>
    <n v="55"/>
    <x v="0"/>
    <s v="84 AVENUE D'ANGOULÊME"/>
    <s v="-"/>
    <s v="-"/>
    <x v="215"/>
    <s v="COGNAC"/>
    <s v="-0.29415"/>
    <s v="45.682114"/>
    <s v="Centre ville"/>
    <d v="2025-01-01T00:00:00"/>
    <d v="2025-01-01T00:00:00"/>
    <s v="Franchisee"/>
    <s v="DAVID PEAUDEAU"/>
    <s v="Dominique CHEVANCE"/>
    <x v="0"/>
    <n v="1.5"/>
    <n v="0.7"/>
    <s v="January"/>
    <n v="0.6"/>
    <s v="August"/>
    <n v="0.8"/>
    <x v="0"/>
    <x v="1"/>
    <s v="No"/>
    <s v="Yes"/>
    <n v="4"/>
    <s v="-"/>
    <n v="1"/>
    <n v="1"/>
    <n v="0.5"/>
    <n v="0.5"/>
    <n v="0.4"/>
    <n v="0.6"/>
  </r>
  <r>
    <s v="H5208"/>
    <s v="IBIS BUDGET LILLE CENTRE"/>
    <x v="4"/>
    <s v="06/10/2003"/>
    <n v="100"/>
    <x v="1"/>
    <s v="10 RUE DE COURTRAI"/>
    <s v="-"/>
    <s v="-"/>
    <x v="153"/>
    <s v="LILLE"/>
    <s v="3.067943"/>
    <s v="50.642582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221"/>
    <s v="IBIS LORIENT CENTRE GARE"/>
    <x v="0"/>
    <s v="08/12/1987"/>
    <n v="51"/>
    <x v="0"/>
    <s v="9 COURS DE CHAZELLES"/>
    <s v="-"/>
    <s v="-"/>
    <x v="168"/>
    <s v="LORIENT"/>
    <s v="-3.363529"/>
    <s v="47.755108"/>
    <s v="Centre ville"/>
    <d v="2025-01-01T00:00:00"/>
    <d v="2025-01-01T00:00:00"/>
    <s v="Franchisee"/>
    <s v="CELINE DA MOTA FILIPPI"/>
    <s v="Jean-Luc RABAULT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5230"/>
    <s v="IBIS STYLES TOULOUSE LAVAUR"/>
    <x v="2"/>
    <s v="01/09/2002"/>
    <n v="58"/>
    <x v="0"/>
    <s v="1 AVENUE GEORGES POMPIDOU"/>
    <s v="-"/>
    <s v="-"/>
    <x v="417"/>
    <s v="LAVAUR"/>
    <s v="1.808961"/>
    <s v="43.698908"/>
    <s v="Centre ville"/>
    <d v="2025-01-01T00:00:00"/>
    <d v="2025-01-01T00:00:00"/>
    <s v="Franchisee"/>
    <s v="GERARD DAUBANES"/>
    <s v="Jean Francois SANCHEZ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5234"/>
    <s v="IBIS LYON CALUIRE CITE INT"/>
    <x v="0"/>
    <s v="15/11/2004"/>
    <n v="114"/>
    <x v="1"/>
    <s v="9 AVENUE DE POUMEYROL"/>
    <s v="ZAC SAINT CLAIR"/>
    <s v="-"/>
    <x v="328"/>
    <s v="LYON"/>
    <s v="4.859888"/>
    <s v="45.789253"/>
    <s v="Centre ville"/>
    <d v="2025-01-01T00:00:00"/>
    <d v="2025-01-01T00:00:00"/>
    <s v="Franchisee"/>
    <s v="B.H.I"/>
    <s v="Katia GARNI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5244"/>
    <s v="IBIS BUDGET PONTAULT COMBAULT"/>
    <x v="4"/>
    <s v="01/06/2002"/>
    <n v="93"/>
    <x v="0"/>
    <s v="2 ZA LA TÊTE DE BUIS"/>
    <s v="RN 4"/>
    <s v="-"/>
    <x v="403"/>
    <s v="PONTAULT COMBAULT"/>
    <s v="2.589046"/>
    <s v="48.77803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269"/>
    <s v="IBIS BUDGET PARIS PTE ITALIE"/>
    <x v="4"/>
    <s v="23/10/2002"/>
    <n v="143"/>
    <x v="1"/>
    <s v="6/15 RUE ELISÉE RECLUS"/>
    <s v="-"/>
    <s v="-"/>
    <x v="418"/>
    <s v="KREMLIN BICETRE"/>
    <s v="2.356021"/>
    <s v="48.814522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274"/>
    <s v="IBIS BUDGET AUBAGNE PALUDS AGORA"/>
    <x v="4"/>
    <s v="01/04/2003"/>
    <n v="57"/>
    <x v="0"/>
    <s v="AVENUE DES PALUDS"/>
    <s v="CENTRE DE VIE AGORA"/>
    <s v="ZI LES PALUDS"/>
    <x v="419"/>
    <s v="AUBAGNE"/>
    <s v="5.601708"/>
    <s v="43.28632"/>
    <s v="Centre ville"/>
    <d v="2025-01-01T00:00:00"/>
    <d v="2025-01-01T00:00:00"/>
    <s v="Franchisee"/>
    <s v="CASTELLET HOSPITALITY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297"/>
    <s v="IBIS CAEN PORTE DE BRETAGNE"/>
    <x v="0"/>
    <s v="01/01/2003"/>
    <n v="80"/>
    <x v="0"/>
    <s v="1 RUE DU FRESNE"/>
    <s v="-"/>
    <s v="-"/>
    <x v="386"/>
    <s v="BRETEVILLE SUR ODON"/>
    <s v="-0.42255"/>
    <s v="49.164495"/>
    <s v="Centre ville"/>
    <d v="2025-01-01T00:00:00"/>
    <d v="2025-01-01T00:00:00"/>
    <s v="Franchisee"/>
    <s v="FAMILLE BESNEVILLE-LOGEAIS"/>
    <s v="Ronan LE MEUR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5302"/>
    <s v="IBIS PARIS TOUR MONTPARNASSE"/>
    <x v="0"/>
    <s v="07/08/1930"/>
    <n v="45"/>
    <x v="4"/>
    <s v="22 AVENUE DU MAINE"/>
    <s v="-"/>
    <s v="-"/>
    <x v="173"/>
    <s v="PARIS"/>
    <s v="2.320197"/>
    <s v="48.843332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303"/>
    <s v="IBIS BUDGET LA ROCHE SUR YON"/>
    <x v="4"/>
    <s v="01/09/2004"/>
    <n v="88"/>
    <x v="0"/>
    <s v="180 RUE DU CLAIR BOCAGE"/>
    <s v="-"/>
    <s v="-"/>
    <x v="211"/>
    <s v="LA ROCHE SUR YON"/>
    <s v="-1.430486"/>
    <s v="46.710342"/>
    <s v="Centre ville"/>
    <d v="2025-01-01T00:00:00"/>
    <d v="2025-01-01T00:00:00"/>
    <s v="Franchisee"/>
    <s v="AGP HOTELS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304"/>
    <s v="IBIS BUDGET MARSEILLE VITROLLES"/>
    <x v="4"/>
    <s v="11/08/2003"/>
    <n v="80"/>
    <x v="0"/>
    <s v="81 BOULEVARD DE L'EUROPE"/>
    <s v="ZAC DE L'ANJOLY"/>
    <s v="-"/>
    <x v="69"/>
    <s v="MARSEILLE"/>
    <s v="5.267465"/>
    <s v="43.421406"/>
    <s v="Centre ville"/>
    <d v="2025-01-01T00:00:00"/>
    <d v="2025-01-01T00:00:00"/>
    <s v="Franchisee"/>
    <s v="FAMILLE NOGIER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317"/>
    <s v="IBIS BUDGET GRANVILLE"/>
    <x v="4"/>
    <s v="06/06/2003"/>
    <n v="75"/>
    <x v="0"/>
    <s v="1167 ROUTE DE VILLEDIEU"/>
    <s v="-"/>
    <s v="-"/>
    <x v="367"/>
    <s v="GRANVILLE"/>
    <s v="-1.54477"/>
    <s v="48.837659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319"/>
    <s v="IBIS BUDGET AVIGNON NORD"/>
    <x v="4"/>
    <s v="19/05/2003"/>
    <n v="91"/>
    <x v="0"/>
    <s v="643 AVENUE DE FONTVERT"/>
    <s v="ENTRÉE CC N°3"/>
    <s v="-"/>
    <x v="420"/>
    <s v="AVIGNON"/>
    <s v="4.874872"/>
    <s v="43.977228"/>
    <s v="Centre ville"/>
    <d v="2025-01-01T00:00:00"/>
    <d v="2025-01-01T00:00:00"/>
    <s v="Franchisee"/>
    <s v="FAMILLE LE CARDIET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320"/>
    <s v="IBIS BUDGET BRIVE LA GAILLARDE"/>
    <x v="4"/>
    <s v="16/07/2004"/>
    <n v="93"/>
    <x v="0"/>
    <s v="AVENUE DU GENERAL POUYADE"/>
    <s v="ZAC DU MAZAUD"/>
    <s v="-"/>
    <x v="155"/>
    <s v="BRIVE"/>
    <s v="1.475462"/>
    <s v="45.144939"/>
    <s v="Centre ville"/>
    <d v="2025-01-01T00:00:00"/>
    <d v="2025-01-01T00:00:00"/>
    <s v="Franchisee"/>
    <s v="FAMILLE BOHY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321"/>
    <s v="IBIS BUDGET NARBONNE EST"/>
    <x v="4"/>
    <s v="18/08/2003"/>
    <n v="74"/>
    <x v="0"/>
    <s v="29 RUE DEMOGE"/>
    <s v="ZAC BONNE SOURCE"/>
    <s v="-"/>
    <x v="49"/>
    <s v="NARBONNE"/>
    <s v="3.03302"/>
    <s v="43.178757"/>
    <s v="Centre ville"/>
    <d v="2025-01-01T00:00:00"/>
    <d v="2025-01-01T00:00:00"/>
    <s v="Franchisee"/>
    <s v="FAMILLE PHILIP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418"/>
    <s v="NOVOTEL CDG CONVENTION AND SPA"/>
    <x v="3"/>
    <s v="01/01/2003"/>
    <n v="295"/>
    <x v="5"/>
    <s v="10 ALLÉE DU VERGER"/>
    <s v="-"/>
    <s v="-"/>
    <x v="156"/>
    <s v="ROISSY"/>
    <s v="2.517808"/>
    <s v="48.998928"/>
    <s v="Centre ville"/>
    <d v="2025-01-01T00:00:00"/>
    <d v="2025-01-01T00:00:00"/>
    <s v="Managed"/>
    <s v="ACCORINVEST FRANCE"/>
    <s v="Thibault FREMONT"/>
    <x v="1"/>
    <n v="1.5"/>
    <n v="0.7"/>
    <s v="January"/>
    <n v="0.6"/>
    <s v="August"/>
    <n v="0.8"/>
    <x v="2"/>
    <x v="0"/>
    <s v="No"/>
    <s v="Yes"/>
    <n v="17"/>
    <n v="1"/>
    <n v="0"/>
    <n v="1"/>
    <n v="0.5"/>
    <n v="0.5"/>
    <n v="0.4"/>
    <n v="0.6"/>
  </r>
  <r>
    <s v="H5440"/>
    <s v="MERCURE ABBEVILLE CENTRE"/>
    <x v="1"/>
    <s v="01/05/1949"/>
    <n v="72"/>
    <x v="0"/>
    <s v="19 PLACE DU PILORI"/>
    <s v="-"/>
    <s v="-"/>
    <x v="140"/>
    <s v="ABBEVILLE"/>
    <s v="1.835693"/>
    <s v="50.107746"/>
    <s v="Centre ville"/>
    <d v="2025-01-01T00:00:00"/>
    <d v="2025-01-01T00:00:00"/>
    <s v="Franchisee"/>
    <s v="LUDOVIC WALOSZEK"/>
    <s v="Muriel JACQUELINE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5445"/>
    <s v="MERCURE LOURDES IMPERIAL"/>
    <x v="1"/>
    <s v="01/01/1940"/>
    <n v="86"/>
    <x v="0"/>
    <s v="3 AVENUE DU PARADIS"/>
    <s v="-"/>
    <s v="-"/>
    <x v="421"/>
    <s v="LOURDES"/>
    <s v="-0.052174"/>
    <s v="43.095013"/>
    <s v="Centre ville"/>
    <d v="2025-01-01T00:00:00"/>
    <d v="2025-01-01T00:00:00"/>
    <s v="Franchisee"/>
    <s v="FAMILLE VINCENT-ELOI"/>
    <s v="Jerome LANTERNIE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5446"/>
    <s v="IBIS STYLES VILLEPINTE"/>
    <x v="2"/>
    <s v="01/01/1984"/>
    <n v="85"/>
    <x v="0"/>
    <s v="54 AVENUE DES NATIONS"/>
    <s v="VILLEPINTE"/>
    <s v="BP 68030"/>
    <x v="422"/>
    <s v="ROISSY"/>
    <s v="2.511736"/>
    <s v="48.972454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5478"/>
    <s v="IBIS NUITS SAINT GEORGES"/>
    <x v="0"/>
    <s v="01/01/1980"/>
    <n v="56"/>
    <x v="0"/>
    <s v="1 AVENUE DE CHAMBOLAND"/>
    <s v="-"/>
    <s v="-"/>
    <x v="423"/>
    <s v="NUITS SAINT GEORGES"/>
    <s v="4.947416"/>
    <s v="47.131447"/>
    <s v="Centre ville"/>
    <d v="2025-01-01T00:00:00"/>
    <d v="2025-01-01T00:00:00"/>
    <s v="Franchisee"/>
    <s v="GROUPE DESFOSSEY"/>
    <s v="Eric MARAIS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5479"/>
    <s v="IBIS LEVALLOIS PERRET"/>
    <x v="0"/>
    <s v="05/09/2005"/>
    <n v="53"/>
    <x v="0"/>
    <s v="24 RUE DE TREBOIS"/>
    <s v="-"/>
    <s v="-"/>
    <x v="424"/>
    <s v="LEVALLOIS PERRET"/>
    <s v="2.28988"/>
    <s v="48.891105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484"/>
    <s v="IBIS LA CIOTAT"/>
    <x v="0"/>
    <s v="02/04/2004"/>
    <n v="86"/>
    <x v="0"/>
    <s v="515 AVENUE DE LA TRAMONTANE"/>
    <s v="ATHELIA IV"/>
    <s v="-"/>
    <x v="425"/>
    <s v="LA CIOTAT"/>
    <s v="5.60147"/>
    <s v="43.2058"/>
    <s v="Centre ville"/>
    <d v="2025-01-01T00:00:00"/>
    <d v="2025-01-01T00:00:00"/>
    <s v="Franchisee"/>
    <s v="JEAN-MICHEL BEYRAT"/>
    <s v="Alexandra LAUNAY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5489"/>
    <s v="IBIS STYLES NICE CAP 3000 AERO"/>
    <x v="2"/>
    <s v="27/11/1986"/>
    <n v="84"/>
    <x v="0"/>
    <s v="190 AVENUE GEORGES GUYNEMER"/>
    <s v="-"/>
    <s v="-"/>
    <x v="51"/>
    <s v="SAINT LAURENT DU VAR"/>
    <s v="7.19605"/>
    <s v="43.661178"/>
    <s v="Centre ville"/>
    <d v="2025-01-01T00:00:00"/>
    <d v="2025-01-01T00:00:00"/>
    <s v="Franchisee"/>
    <s v="FAMILLE FARINES"/>
    <s v="Marion BOROT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5491"/>
    <s v="IBIS BUDGET CHERBOURG LA GLACERI"/>
    <x v="4"/>
    <s v="01/04/2013"/>
    <n v="72"/>
    <x v="0"/>
    <s v="2 RUE DU CHÂTEAU D'EAU"/>
    <s v="ROND-POINT ANDRÉ MALRAUX"/>
    <s v="LA GLACERIE"/>
    <x v="311"/>
    <s v="CHERBOURG"/>
    <s v="-1.59617"/>
    <s v="49.600809"/>
    <s v="Centre ville"/>
    <d v="2025-01-01T00:00:00"/>
    <d v="2025-01-01T00:00:00"/>
    <s v="Franchisee"/>
    <s v="FAMILLE CHOINARD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493"/>
    <s v="IBIS BUDGET CANNES CENTRE VILLE"/>
    <x v="4"/>
    <s v="01/01/2004"/>
    <n v="102"/>
    <x v="1"/>
    <s v="3 RUE MOZART"/>
    <s v="ANGLE 46 BOULEVARD CARNOT"/>
    <s v="-"/>
    <x v="250"/>
    <s v="CANNES"/>
    <s v="7.017552"/>
    <s v="43.558075"/>
    <s v="Centre ville"/>
    <d v="2025-01-01T00:00:00"/>
    <d v="2025-01-01T00:00:00"/>
    <s v="Franchisee"/>
    <s v="JEAN-LOUIS MEYER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508"/>
    <s v="IBIS BUDGET POUILLY EN AUXOIS"/>
    <x v="4"/>
    <s v="01/10/2003"/>
    <n v="54"/>
    <x v="0"/>
    <s v="LES PORTES DE BOURGOGNE"/>
    <s v="AVENUE GEORGES BESSE"/>
    <s v="CRÉANCEY"/>
    <x v="426"/>
    <s v="POUILLY EN AUXOIS"/>
    <s v="4.567244"/>
    <s v="47.247933"/>
    <s v="Centre ville"/>
    <d v="2025-01-01T00:00:00"/>
    <d v="2025-01-01T00:00:00"/>
    <s v="Franchisee"/>
    <s v="SOMNOO"/>
    <s v="Eric MARAIS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5529"/>
    <s v="IBIS BUDGET PERTUIS LUBERON"/>
    <x v="4"/>
    <s v="21/10/2004"/>
    <n v="59"/>
    <x v="0"/>
    <s v="ZAC ST MARTIN"/>
    <s v="355 RUE DE GOURRE D'AURE"/>
    <s v="-"/>
    <x v="427"/>
    <s v="PERTUIS"/>
    <s v="5.497949"/>
    <s v="43.676043"/>
    <s v="Centre ville"/>
    <d v="2025-01-01T00:00:00"/>
    <d v="2025-01-01T00:00:00"/>
    <s v="Franchisee"/>
    <s v="KER HOSPITALITY"/>
    <s v="Alexandra LAUNAY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5542"/>
    <s v="IBIS SAINT GRATIEN"/>
    <x v="0"/>
    <s v="01/11/2003"/>
    <n v="50"/>
    <x v="0"/>
    <s v="54 PLACE DE LA GARE"/>
    <s v="-"/>
    <s v="-"/>
    <x v="324"/>
    <s v="SAINT GRATIEN"/>
    <s v="2.285607"/>
    <s v="48.964126"/>
    <s v="Centre ville"/>
    <d v="2025-01-01T00:00:00"/>
    <d v="2025-01-01T00:00:00"/>
    <s v="Franchisee"/>
    <s v="GRAPE HOSPITALITY"/>
    <s v="Sophie CHOLLON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5543"/>
    <s v="IBIS PARIS AVENUE D ITALIE"/>
    <x v="0"/>
    <s v="01/09/1988"/>
    <n v="111"/>
    <x v="1"/>
    <s v="15 BIS AVENUE D'ITALIE"/>
    <s v="-"/>
    <s v="-"/>
    <x v="177"/>
    <s v="PARIS"/>
    <s v="2.356396"/>
    <s v="48.829434"/>
    <s v="Centre ville"/>
    <d v="2025-01-01T00:00:00"/>
    <d v="2025-01-01T00:00:00"/>
    <s v="Franchisee"/>
    <s v="COFIGAD - EME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546"/>
    <s v="IBIS TROYES CENTRE"/>
    <x v="0"/>
    <s v="01/05/2004"/>
    <n v="77"/>
    <x v="0"/>
    <s v="RUE CAMILLE CLAUDEL"/>
    <s v="-"/>
    <s v="-"/>
    <x v="371"/>
    <s v="TROYES"/>
    <s v="4.080541"/>
    <s v="48.292752"/>
    <s v="Centre ville"/>
    <d v="2025-01-01T00:00:00"/>
    <d v="2025-01-01T00:00:00"/>
    <s v="Franchisee"/>
    <s v="CLR HOTELS"/>
    <s v="Eric MARAIS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5586"/>
    <s v="NOVOTEL PARIS PORTE D ITALIE"/>
    <x v="3"/>
    <s v="01/01/2004"/>
    <n v="87"/>
    <x v="0"/>
    <s v="22  RUE VOLTAIRE"/>
    <s v="-"/>
    <s v="-"/>
    <x v="418"/>
    <s v="KREMLIN BICETRE"/>
    <s v="2.364374"/>
    <s v="48.816057"/>
    <s v="Centre ville"/>
    <d v="2025-01-01T00:00:00"/>
    <d v="2025-01-01T00:00:00"/>
    <s v="Franchisee"/>
    <s v="FAMILLE FARINES"/>
    <s v="Sophie CHOLLON"/>
    <x v="1"/>
    <n v="1.5"/>
    <n v="0.7"/>
    <s v="January"/>
    <n v="0.6"/>
    <s v="August"/>
    <n v="0.8"/>
    <x v="0"/>
    <x v="0"/>
    <s v="No"/>
    <s v="Yes"/>
    <n v="1"/>
    <n v="1"/>
    <n v="0"/>
    <s v="-"/>
    <n v="0.5"/>
    <n v="0.5"/>
    <n v="0.4"/>
    <n v="0.6"/>
  </r>
  <r>
    <s v="H5592"/>
    <s v="IBIS BUDGET ORLEANS OUEST MEUNG"/>
    <x v="4"/>
    <s v="15/09/2004"/>
    <n v="67"/>
    <x v="0"/>
    <s v="NUMÉRO  1000"/>
    <s v="RUE 6ÈME AVENUE"/>
    <s v="ZAC SYNERGIE VAL DE LOIRE"/>
    <x v="428"/>
    <s v="MEUNG SUR LORIE"/>
    <s v="1.67196"/>
    <s v="47.833411"/>
    <s v="Centre ville"/>
    <d v="2025-01-01T00:00:00"/>
    <d v="2025-01-01T00:00:00"/>
    <s v="Franchisee"/>
    <s v="GROUPE DERET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593"/>
    <s v="IBIS BUDGET NEVERS VARENNES"/>
    <x v="4"/>
    <s v="01/06/2004"/>
    <n v="68"/>
    <x v="0"/>
    <s v="RUE DU BENGY"/>
    <s v="LA GARCIÈRE"/>
    <s v="-"/>
    <x v="429"/>
    <s v="NEVERS"/>
    <s v="3.143892"/>
    <s v="47.031817"/>
    <s v="Centre ville"/>
    <d v="2025-01-01T00:00:00"/>
    <d v="2025-01-01T00:00:00"/>
    <s v="Franchisee"/>
    <s v="HPVA HOTELS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594"/>
    <s v="IBIS BUDGET FLERS GRANDS CHAMPS"/>
    <x v="4"/>
    <s v="01/09/2004"/>
    <n v="59"/>
    <x v="0"/>
    <s v="ZA DES GRANDS CHAMPS"/>
    <s v="-"/>
    <s v="-"/>
    <x v="430"/>
    <s v="FLERS"/>
    <s v="-0.58394"/>
    <s v="48.724872"/>
    <s v="Centre ville"/>
    <d v="2025-01-01T00:00:00"/>
    <d v="2025-01-01T00:00:00"/>
    <s v="Franchisee"/>
    <s v="SAMIR PATEL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595"/>
    <s v="IBIS BUDGET ROCHEFORT"/>
    <x v="4"/>
    <s v="11/01/2004"/>
    <n v="60"/>
    <x v="0"/>
    <s v="ZONE DU BRILLOUET"/>
    <s v="LIEU-DIT  PETITE GRANGE"/>
    <s v="-"/>
    <x v="258"/>
    <s v="ROCHEFORT"/>
    <s v="-0.977683"/>
    <s v="45.958805"/>
    <s v="Centre ville"/>
    <d v="2025-01-01T00:00:00"/>
    <d v="2025-01-01T00:00:00"/>
    <s v="Franchisee"/>
    <s v="JEROME PLADEC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596"/>
    <s v="IBIS BUDGET AGEN"/>
    <x v="4"/>
    <s v="02/11/2004"/>
    <n v="68"/>
    <x v="0"/>
    <s v="ROUTE DE CONDOM"/>
    <s v="-"/>
    <s v="-"/>
    <x v="431"/>
    <s v="AGEN"/>
    <s v="0.601233"/>
    <s v="44.163666"/>
    <s v="Centre ville"/>
    <d v="2025-01-01T00:00:00"/>
    <d v="2025-01-01T00:00:00"/>
    <s v="Franchisee"/>
    <s v="SOMNOO"/>
    <s v="Dominique CHEVANCE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5597"/>
    <s v="IBIS BUDGET BEZIERS CENTRE"/>
    <x v="4"/>
    <s v="06/07/2004"/>
    <n v="33"/>
    <x v="4"/>
    <s v="RUE RACINE"/>
    <s v="ANGLE DE L'AVENUE SAINT SAËNS"/>
    <s v="-"/>
    <x v="118"/>
    <s v="BEZIERS"/>
    <s v="3.220561"/>
    <s v="43.34251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598"/>
    <s v="IBIS BUDGET DOLE"/>
    <x v="4"/>
    <s v="01/09/2004"/>
    <n v="60"/>
    <x v="0"/>
    <s v="RUE DES BAUVRETTES"/>
    <s v="ESPACE COMMERCIALE DE CHOISEY"/>
    <s v="-"/>
    <x v="287"/>
    <s v="DOLE"/>
    <s v="5.450849"/>
    <s v="47.063062"/>
    <s v="Centre ville"/>
    <d v="2025-01-01T00:00:00"/>
    <d v="2025-01-01T00:00:00"/>
    <s v="Franchisee"/>
    <s v="PATRICE LOFFROY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599"/>
    <s v="IBIS BUDGET MARMANDE"/>
    <x v="4"/>
    <s v="01/09/2007"/>
    <n v="66"/>
    <x v="0"/>
    <s v="AVENUE FRANÇOIS MITTERRAND"/>
    <s v="D813"/>
    <s v="-"/>
    <x v="432"/>
    <s v="MARMANDE"/>
    <s v="0.135291"/>
    <s v="44.510638"/>
    <s v="Centre ville"/>
    <d v="2025-01-01T00:00:00"/>
    <d v="2025-01-01T00:00:00"/>
    <s v="Franchisee"/>
    <s v="SOMNOO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00"/>
    <s v="IBIS BUDGET ORLEANS SUD"/>
    <x v="4"/>
    <s v="01/12/2004"/>
    <n v="91"/>
    <x v="0"/>
    <s v="18 BIS RUE DES MONTÉES"/>
    <s v="ORLEANS SUD CO'MET"/>
    <s v="-"/>
    <x v="433"/>
    <s v="ORLEANS"/>
    <s v="1.912265"/>
    <s v="47.878491"/>
    <s v="Centre ville"/>
    <d v="2025-01-01T00:00:00"/>
    <d v="2025-01-01T00:00:00"/>
    <s v="Franchisee"/>
    <s v="GROUPE DERET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01"/>
    <s v="IBIS BUDGET LE MANS CENTRE"/>
    <x v="4"/>
    <s v="07/06/2004"/>
    <n v="62"/>
    <x v="0"/>
    <s v="18 RUE SAINT-BERTRAND"/>
    <s v="-"/>
    <s v="-"/>
    <x v="434"/>
    <s v="LE MANS"/>
    <s v="0.203265"/>
    <s v="48.001941"/>
    <s v="Centre ville"/>
    <d v="2025-01-01T00:00:00"/>
    <d v="2025-01-01T00:00:00"/>
    <s v="Franchisee"/>
    <s v="B.H.I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02"/>
    <s v="IBIS BUDGET ALBI CENTRE"/>
    <x v="4"/>
    <s v="01/04/2006"/>
    <n v="59"/>
    <x v="0"/>
    <s v="16 AVENUE GAMBETTA"/>
    <s v="-"/>
    <s v="-"/>
    <x v="231"/>
    <s v="ALBI"/>
    <s v="2.147398"/>
    <s v="43.923697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08"/>
    <s v="IBIS BUDGET COUTANCES"/>
    <x v="4"/>
    <s v="28/05/2004"/>
    <n v="75"/>
    <x v="0"/>
    <s v="4 ALLÉE DU CHÂTEAU DE LA MARE"/>
    <s v="-"/>
    <s v="-"/>
    <x v="435"/>
    <s v="COUTANCE"/>
    <s v="-1.424425"/>
    <s v="49.070042"/>
    <s v="Centre ville"/>
    <d v="2025-01-01T00:00:00"/>
    <d v="2025-01-01T00:00:00"/>
    <s v="Franchisee"/>
    <s v="FAMILLE CHOINARD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09"/>
    <s v="IBIS BUDGET PERPIGNAN SUD"/>
    <x v="4"/>
    <s v="14/06/2004"/>
    <n v="51"/>
    <x v="0"/>
    <s v="66 AVENUE DE ROME"/>
    <s v="ZAC DU GRAND SAINT-CHARLES"/>
    <s v="-"/>
    <x v="206"/>
    <s v="PERPIGNAN"/>
    <s v="2.853538"/>
    <s v="42.680854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11"/>
    <s v="IBIS MANOSQUE CADARACHE"/>
    <x v="0"/>
    <s v="01/04/2004"/>
    <n v="60"/>
    <x v="0"/>
    <s v="PÉAGE A51"/>
    <s v="SORTIE 18"/>
    <s v="-"/>
    <x v="436"/>
    <s v="MANOSQUE"/>
    <s v="5.814815"/>
    <s v="43.807852"/>
    <s v="Centre ville"/>
    <d v="2025-01-01T00:00:00"/>
    <d v="2025-01-01T00:00:00"/>
    <s v="Franchisee"/>
    <s v="KER HOSPITALITY"/>
    <s v="Alexandra LAUNAY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5612"/>
    <s v="IBIS AEROPORT BALE MULHOUSE"/>
    <x v="0"/>
    <s v="10/02/2005"/>
    <n v="65"/>
    <x v="0"/>
    <s v="17 AVENUE DU GÉNÉRAL DE GAULLE"/>
    <s v="-"/>
    <s v="-"/>
    <x v="437"/>
    <s v="SAINT LOUIS"/>
    <s v="7.562188"/>
    <s v="47.585333"/>
    <s v="Centre ville"/>
    <d v="2025-01-01T00:00:00"/>
    <d v="2025-01-01T00:00:00"/>
    <s v="Franchisee"/>
    <s v="HOANG-ATALANTE"/>
    <s v="Eric MARAI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5613"/>
    <s v="IBIS MILLAU"/>
    <x v="0"/>
    <s v="01/06/1974"/>
    <n v="46"/>
    <x v="4"/>
    <s v="1 PLACE DE LA TINE"/>
    <s v="-"/>
    <s v="-"/>
    <x v="438"/>
    <s v="MILLAU"/>
    <s v="3.080159"/>
    <s v="44.100593"/>
    <s v="Centre ville"/>
    <d v="2025-01-01T00:00:00"/>
    <d v="2025-01-01T00:00:00"/>
    <s v="Franchisee"/>
    <s v="JEAN-MICHEL BEYRAT"/>
    <s v="Jean Francois SANCHE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614"/>
    <s v="MERCURE MILLAU"/>
    <x v="1"/>
    <s v="01/06/1974"/>
    <n v="57"/>
    <x v="0"/>
    <s v="1 PLACE DE LA TINE"/>
    <s v="-"/>
    <s v="-"/>
    <x v="438"/>
    <s v="MILLAU"/>
    <s v="3.0792"/>
    <s v="44.100674"/>
    <s v="Centre ville"/>
    <d v="2025-01-01T00:00:00"/>
    <d v="2025-01-01T00:00:00"/>
    <s v="Franchisee"/>
    <s v="JEAN-MICHEL BEYRAT"/>
    <s v="Jean Francois SANCHEZ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5615"/>
    <s v="IBIS ISSOIRE"/>
    <x v="0"/>
    <s v="01/01/1988"/>
    <n v="50"/>
    <x v="0"/>
    <s v="RUE JEAN BIGOT"/>
    <s v="-"/>
    <s v="-"/>
    <x v="412"/>
    <s v="ISSOIRE"/>
    <s v="3.267855"/>
    <s v="45.547809"/>
    <s v="Centre ville"/>
    <d v="2025-01-01T00:00:00"/>
    <d v="2025-01-01T00:00:00"/>
    <s v="Franchisee"/>
    <s v="GUILLAUME LUCOT"/>
    <s v="Jean-Claude FOUCHE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616"/>
    <s v="IBIS PERPIGNAN SUD ST CHARLES"/>
    <x v="0"/>
    <s v="01/01/1997"/>
    <n v="30"/>
    <x v="4"/>
    <s v="66 AVENUE DE ROME"/>
    <s v="ZAC DU GRAND SAINT CHARLES"/>
    <s v="-"/>
    <x v="206"/>
    <s v="PERPIGNAN"/>
    <s v="2.852841"/>
    <s v="42.680679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5634"/>
    <s v="IBIS BUDGET LIMOGES"/>
    <x v="4"/>
    <s v="01/10/2004"/>
    <n v="120"/>
    <x v="1"/>
    <s v="14 RUE DU CHINCHAUVAUD"/>
    <s v="-"/>
    <s v="-"/>
    <x v="439"/>
    <s v="LIMOGES"/>
    <s v="1.265578"/>
    <s v="45.838573"/>
    <s v="Centre ville"/>
    <d v="2025-01-01T00:00:00"/>
    <d v="2025-01-01T00:00:00"/>
    <s v="Franchisee"/>
    <s v="HENRY GAUZE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39"/>
    <s v="MERCURE BEZIERS"/>
    <x v="1"/>
    <s v="01/07/2004"/>
    <n v="59"/>
    <x v="0"/>
    <s v="33 AVENUE SAINT SAENS"/>
    <s v="-"/>
    <s v="-"/>
    <x v="118"/>
    <s v="BEZIERS"/>
    <s v="3.220518"/>
    <s v="43.342369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640"/>
    <s v="IBIS DIJON CENTRE CLEMENCEAU"/>
    <x v="0"/>
    <s v="01/01/2007"/>
    <n v="85"/>
    <x v="0"/>
    <s v="2 AVENUE DE MARBOTTE"/>
    <s v="-"/>
    <s v="-"/>
    <x v="115"/>
    <s v="DIJON"/>
    <s v="5.051501"/>
    <s v="47.329341"/>
    <s v="Centre ville"/>
    <d v="2025-01-01T00:00:00"/>
    <d v="2025-01-01T00:00:00"/>
    <s v="Franchisee"/>
    <s v="FAMILLE JACQUIER"/>
    <s v="Eric MARAI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5641"/>
    <s v="MERCURE LE MANS CENTRE"/>
    <x v="1"/>
    <s v="01/01/1840"/>
    <n v="73"/>
    <x v="0"/>
    <s v="19 RUE CHANZY"/>
    <s v="-"/>
    <s v="-"/>
    <x v="434"/>
    <s v="LE MANS"/>
    <s v="0.202744"/>
    <s v="48.001888"/>
    <s v="Centre ville"/>
    <d v="2025-01-01T00:00:00"/>
    <d v="2025-01-01T00:00:00"/>
    <s v="Franchisee"/>
    <s v="FERRE HOTELS"/>
    <s v="Bruno COQUAZ"/>
    <x v="4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5643"/>
    <s v="IBIS STYLES DEAUVILLE VILLERS"/>
    <x v="2"/>
    <s v="01/04/2006"/>
    <n v="57"/>
    <x v="0"/>
    <s v="86 AVENUE DE LA RÉPUBLIQUE"/>
    <s v="-"/>
    <s v="-"/>
    <x v="440"/>
    <s v="VILLERS SUR MER"/>
    <s v="0.008507"/>
    <s v="49.329105"/>
    <s v="Centre ville"/>
    <d v="2025-01-01T00:00:00"/>
    <d v="2025-01-01T00:00:00"/>
    <s v="Franchisee"/>
    <s v="FAMILLE COINTET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645"/>
    <s v="IBIS HONFLEUR"/>
    <x v="0"/>
    <s v="01/05/2005"/>
    <n v="60"/>
    <x v="0"/>
    <s v="COURS JEAN DE VIENNE"/>
    <s v="-"/>
    <s v="-"/>
    <x v="200"/>
    <s v="HONFLEUR"/>
    <s v="0.246602"/>
    <s v="49.414207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646"/>
    <s v="IBIS M LA VALLEE VAL D EUROPE"/>
    <x v="0"/>
    <s v="28/03/2007"/>
    <n v="100"/>
    <x v="1"/>
    <s v="2 PLACE JEAN MONNET"/>
    <s v="-"/>
    <s v="-"/>
    <x v="405"/>
    <s v="MONTEVRAIN"/>
    <s v="2.770132"/>
    <s v="48.854501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5650"/>
    <s v="NOVOTEL LE HAVRE CENTRE GARE"/>
    <x v="3"/>
    <s v="04/04/2005"/>
    <n v="128"/>
    <x v="1"/>
    <s v="20 COURS LA FAYETTE"/>
    <s v="QUAI COLBERT"/>
    <s v="-"/>
    <x v="2"/>
    <s v="LE HAVRE"/>
    <s v="0.125565"/>
    <s v="49.491521"/>
    <s v="Centre ville"/>
    <d v="2025-01-01T00:00:00"/>
    <d v="2025-01-01T00:00:00"/>
    <s v="Franchisee"/>
    <s v="FAMILLE COINTET"/>
    <s v="Ronan LE MEUR"/>
    <x v="0"/>
    <n v="1.5"/>
    <n v="0.7"/>
    <s v="January"/>
    <n v="0.6"/>
    <s v="August"/>
    <n v="0.8"/>
    <x v="0"/>
    <x v="0"/>
    <s v="No"/>
    <s v="Yes"/>
    <n v="8"/>
    <s v="-"/>
    <n v="0"/>
    <s v="-"/>
    <n v="0.5"/>
    <n v="0.5"/>
    <n v="0.4"/>
    <n v="0.6"/>
  </r>
  <r>
    <s v="H5651"/>
    <s v="IBIS BUDGET CLERMONT FERRAND"/>
    <x v="4"/>
    <s v="01/03/2005"/>
    <n v="44"/>
    <x v="4"/>
    <s v="3 BOULEVARD AMBROISE BRUGIÈRE"/>
    <s v="-"/>
    <s v="-"/>
    <x v="181"/>
    <s v="CLERMONT FERRAND"/>
    <s v="3.118065"/>
    <s v="45.79179"/>
    <s v="Centre ville"/>
    <d v="2025-01-01T00:00:00"/>
    <d v="2025-01-01T00:00:00"/>
    <s v="Franchisee"/>
    <s v="PA-HOLDING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52"/>
    <s v="IBIS BUDGET BAR LE DUC"/>
    <x v="4"/>
    <s v="19/05/2006"/>
    <n v="69"/>
    <x v="0"/>
    <s v="5 RUE DES VALOTTES"/>
    <s v="-"/>
    <s v="-"/>
    <x v="441"/>
    <s v="BAR LE DUC"/>
    <s v="5.18917"/>
    <s v="48.75889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86"/>
    <s v="IBIS BUDGET ST BRIEUC YFFINIAC"/>
    <x v="4"/>
    <s v="28/06/2004"/>
    <n v="30"/>
    <x v="4"/>
    <s v="36 RUE JULIEN QUINTIN"/>
    <s v="BP 13"/>
    <s v="-"/>
    <x v="286"/>
    <s v="YFFINIAC"/>
    <s v="-2.664887"/>
    <s v="48.480367"/>
    <s v="Centre ville"/>
    <d v="2025-01-01T00:00:00"/>
    <d v="2025-01-01T00:00:00"/>
    <s v="Franchisee"/>
    <s v="FAMILLE FOURNIER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690"/>
    <s v="IBIS ROUEN CHAMP DE MARS"/>
    <x v="0"/>
    <s v="01/10/2005"/>
    <n v="91"/>
    <x v="0"/>
    <s v="12 AVENUE ARISTIDE BRIAND"/>
    <s v="-"/>
    <s v="-"/>
    <x v="242"/>
    <s v="ROUEN"/>
    <s v="1.102766"/>
    <s v="49.435886"/>
    <s v="Centre ville"/>
    <d v="2025-01-01T00:00:00"/>
    <d v="2025-01-01T00:00:00"/>
    <s v="Franchisee"/>
    <s v="ATYPIO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692"/>
    <s v="MERCURE LA BAULE MAJESTIC"/>
    <x v="1"/>
    <s v="01/01/1930"/>
    <n v="83"/>
    <x v="0"/>
    <s v="2 AVENUE DE LA NOUE"/>
    <s v="-"/>
    <s v="-"/>
    <x v="442"/>
    <s v="LA BAULE"/>
    <s v="-2.408253"/>
    <s v="47.280514"/>
    <s v="Centre ville"/>
    <d v="2025-01-01T00:00:00"/>
    <d v="2025-01-01T00:00:00"/>
    <s v="Franchisee"/>
    <s v="COFIGAD - EME"/>
    <s v="Jean-Luc RABAULT"/>
    <x v="0"/>
    <n v="1.5"/>
    <n v="0.7"/>
    <s v="January"/>
    <n v="0.6"/>
    <s v="August"/>
    <n v="0.8"/>
    <x v="0"/>
    <x v="0"/>
    <s v="No"/>
    <s v="Yes"/>
    <n v="9"/>
    <s v="-"/>
    <n v="0"/>
    <s v="-"/>
    <n v="0.5"/>
    <n v="0.5"/>
    <n v="0.4"/>
    <n v="0.6"/>
  </r>
  <r>
    <s v="H5695"/>
    <s v="IBIS BUDGET BERGERAC"/>
    <x v="4"/>
    <s v="01/02/2005"/>
    <n v="69"/>
    <x v="0"/>
    <s v="ROUTE DE BORDEAUX"/>
    <s v="C. COMMERCIAL LA CAVAILLE"/>
    <s v="-"/>
    <x v="443"/>
    <s v="BERGERAC"/>
    <s v="0.450445"/>
    <s v="44.835532"/>
    <s v="Centre ville"/>
    <d v="2025-01-01T00:00:00"/>
    <d v="2025-01-01T00:00:00"/>
    <s v="Franchisee"/>
    <s v="CELINE HOUBE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712"/>
    <s v="MERCURE CAEN COTE DE NACRE"/>
    <x v="1"/>
    <s v="01/04/1989"/>
    <n v="88"/>
    <x v="0"/>
    <s v="2 PLACE BOSTON"/>
    <s v="CITIS"/>
    <s v="-"/>
    <x v="94"/>
    <s v="CAEN"/>
    <s v="-0.356508"/>
    <s v="49.212166"/>
    <s v="Centre ville"/>
    <d v="2025-01-01T00:00:00"/>
    <d v="2025-01-01T00:00:00"/>
    <s v="Franchisee"/>
    <s v="FAMILLE BESNEVILLE-ROPARS"/>
    <s v="Ronan LE MEUR"/>
    <x v="0"/>
    <n v="1.5"/>
    <n v="0.7"/>
    <s v="January"/>
    <n v="0.6"/>
    <s v="August"/>
    <n v="0.8"/>
    <x v="0"/>
    <x v="0"/>
    <s v="No"/>
    <s v="Yes"/>
    <n v="9"/>
    <s v="-"/>
    <n v="0"/>
    <s v="-"/>
    <n v="0.5"/>
    <n v="0.5"/>
    <n v="0.4"/>
    <n v="0.6"/>
  </r>
  <r>
    <s v="H5914"/>
    <s v="IBIS ALBI"/>
    <x v="0"/>
    <s v="01/01/2006"/>
    <n v="45"/>
    <x v="4"/>
    <s v="16 AVENUE GAMBETTA"/>
    <s v="-"/>
    <s v="-"/>
    <x v="231"/>
    <s v="ALBI"/>
    <s v="2.14761"/>
    <s v="43.923672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919"/>
    <s v="IBIS BUDGET SAINT OMER CENTRE"/>
    <x v="4"/>
    <s v="01/03/2015"/>
    <n v="75"/>
    <x v="0"/>
    <s v="AVENUE CHARLES DE GAULLE"/>
    <s v="-"/>
    <s v="-"/>
    <x v="133"/>
    <s v="SAINT OMER"/>
    <s v="2.254171"/>
    <s v="50.744154"/>
    <s v="Centre ville"/>
    <d v="2025-01-01T00:00:00"/>
    <d v="2025-01-01T00:00:00"/>
    <s v="Franchisee"/>
    <s v="FAMILLE DUCROCQ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920"/>
    <s v="IBIS BUDGET METZ TECHNOPOLE"/>
    <x v="4"/>
    <s v="07/07/2007"/>
    <n v="82"/>
    <x v="0"/>
    <s v="3 RUE DES DINANDIERS"/>
    <s v="ZAC DE SEBASTOPOL"/>
    <s v="-"/>
    <x v="91"/>
    <s v="METZ"/>
    <s v="6.22895"/>
    <s v="49.109348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934"/>
    <s v="MERCURE LYON EST CHAPONNAY"/>
    <x v="1"/>
    <s v="18/04/2005"/>
    <n v="77"/>
    <x v="0"/>
    <s v="565 RUE TONY GARNIER"/>
    <s v="ZAC DU CHAPOTIN"/>
    <s v="-"/>
    <x v="414"/>
    <s v="CHAPONNAY"/>
    <s v="4.920609"/>
    <s v="45.649531"/>
    <s v="Centre ville"/>
    <d v="2025-01-01T00:00:00"/>
    <d v="2025-01-01T00:00:00"/>
    <s v="Franchisee"/>
    <s v="CHRISTIAN PERRET"/>
    <s v="Katia GARNIE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5951"/>
    <s v="IBIS CREIL SUR OISE"/>
    <x v="0"/>
    <s v="01/06/1993"/>
    <n v="59"/>
    <x v="0"/>
    <s v="3 AVENUE DES POMMIERS"/>
    <s v="D 200"/>
    <s v="-"/>
    <x v="444"/>
    <s v="CREIL"/>
    <s v="2.499666"/>
    <s v="49.289032"/>
    <s v="Centre ville"/>
    <d v="2025-01-01T00:00:00"/>
    <d v="2025-01-01T00:00:00"/>
    <s v="Franchisee"/>
    <s v="SAMIR PATEL"/>
    <s v="Thomas COSTES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5954"/>
    <s v="MERCURE RAMBOUILLET"/>
    <x v="1"/>
    <s v="01/03/2006"/>
    <n v="83"/>
    <x v="0"/>
    <s v="1 PLACE DE LA LIBERATION"/>
    <s v="-"/>
    <s v="-"/>
    <x v="121"/>
    <s v="RAMBOUILLET"/>
    <s v="1.819548"/>
    <s v="48.645401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1"/>
    <x v="0"/>
    <s v="No"/>
    <s v="Yes"/>
    <n v="3"/>
    <n v="1"/>
    <n v="0"/>
    <s v="-"/>
    <n v="0.5"/>
    <n v="0.5"/>
    <n v="0.4"/>
    <n v="0.6"/>
  </r>
  <r>
    <s v="H5955"/>
    <s v="MERCURE LIMOGES CENTRE"/>
    <x v="1"/>
    <s v="01/01/1964"/>
    <n v="82"/>
    <x v="0"/>
    <s v="ACCÈS VOITURE PAR DÉPOSE MINUTES"/>
    <s v="7 BOULEVARD CARNOT"/>
    <s v="-"/>
    <x v="169"/>
    <s v="LIMOGES"/>
    <s v="1.261567"/>
    <s v="45.832049"/>
    <s v="Centre ville"/>
    <d v="2025-01-01T00:00:00"/>
    <d v="2025-01-01T00:00:00"/>
    <s v="Franchisee"/>
    <s v="GROUPE KERDONIS"/>
    <s v="Dominique CHEVANCE"/>
    <x v="0"/>
    <n v="1.5"/>
    <n v="0.7"/>
    <s v="January"/>
    <n v="0.6"/>
    <s v="August"/>
    <n v="0.8"/>
    <x v="0"/>
    <x v="1"/>
    <s v="No"/>
    <s v="Yes"/>
    <n v="5"/>
    <s v="-"/>
    <n v="0"/>
    <s v="-"/>
    <n v="0.5"/>
    <n v="0.5"/>
    <n v="0.4"/>
    <n v="0.6"/>
  </r>
  <r>
    <s v="H5971"/>
    <s v="MERCURE RENNES CESSON"/>
    <x v="1"/>
    <s v="15/06/1985"/>
    <n v="61"/>
    <x v="0"/>
    <s v="40 RUE DU BIGNON"/>
    <s v="FORUM DE LA ROCADE"/>
    <s v="-"/>
    <x v="82"/>
    <s v="CESSON SEVIGNE"/>
    <s v="-1.615173"/>
    <s v="48.09945"/>
    <s v="Centre ville"/>
    <d v="2025-01-01T00:00:00"/>
    <d v="2025-01-01T00:00:00"/>
    <s v="Franchisee"/>
    <s v="FERRE HOTELS"/>
    <s v="Jean-Francois STEBLER"/>
    <x v="4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5973"/>
    <s v="IBIS TARBES ODOS"/>
    <x v="0"/>
    <s v="01/01/1980"/>
    <n v="76"/>
    <x v="0"/>
    <s v="61 AVENUE DE LOURDES"/>
    <s v="-"/>
    <s v="-"/>
    <x v="445"/>
    <s v="ODOS"/>
    <s v="0.048333"/>
    <s v="43.210822"/>
    <s v="Centre ville"/>
    <d v="2025-01-01T00:00:00"/>
    <d v="2025-01-01T00:00:00"/>
    <s v="Franchisee"/>
    <s v="FRANCK LIBERATI"/>
    <s v="Jerome LANTERNI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5976"/>
    <s v="IBIS BUDGET BAYEUX"/>
    <x v="4"/>
    <s v="01/01/2004"/>
    <n v="75"/>
    <x v="0"/>
    <s v="ZA DE NONANT"/>
    <s v="RUE DES LONGUES HAIES"/>
    <s v="-"/>
    <x v="191"/>
    <s v="NONANT"/>
    <s v="-0.646756"/>
    <s v="49.254011"/>
    <s v="Centre ville"/>
    <d v="2025-01-01T00:00:00"/>
    <d v="2025-01-01T00:00:00"/>
    <s v="Franchisee"/>
    <s v="FAMILLE MAUREY"/>
    <s v="Ronan LE MEUR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5977"/>
    <s v="IBIS STYLES DINAN CENTRE-VILLE"/>
    <x v="2"/>
    <s v="01/04/2005"/>
    <n v="62"/>
    <x v="0"/>
    <s v="1 PLACE DUCLOS PINOT"/>
    <s v="-"/>
    <s v="-"/>
    <x v="446"/>
    <s v="DINAN"/>
    <s v="-2.048701"/>
    <s v="48.454288"/>
    <s v="Centre ville"/>
    <d v="2025-01-01T00:00:00"/>
    <d v="2025-01-01T00:00:00"/>
    <s v="Franchisee"/>
    <s v="GROUPE VIGILIS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5978"/>
    <s v="IBIS BUDGET DIJON ST APOLLINAIRE"/>
    <x v="4"/>
    <s v="01/07/2005"/>
    <n v="73"/>
    <x v="0"/>
    <s v="6 RUE DES LONGENES"/>
    <s v="-"/>
    <s v="-"/>
    <x v="447"/>
    <s v="SAINT APOLLINAIRE"/>
    <s v="5.077668"/>
    <s v="47.329617"/>
    <s v="Centre ville"/>
    <d v="2025-01-01T00:00:00"/>
    <d v="2025-01-01T00:00:00"/>
    <s v="Franchisee"/>
    <s v="FAMILLE JACQUIER"/>
    <s v="Eric MARAIS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5979"/>
    <s v="IBIS BUDGET LIBOURNE"/>
    <x v="4"/>
    <s v="01/01/2004"/>
    <n v="67"/>
    <x v="0"/>
    <s v="ZONE D'ACTIVITÉS &quot;LES DAGUEYS&quot;"/>
    <s v="-"/>
    <s v="-"/>
    <x v="448"/>
    <s v="LIBOURNE"/>
    <s v="-0.244183"/>
    <s v="44.947121"/>
    <s v="Centre ville"/>
    <d v="2025-01-01T00:00:00"/>
    <d v="2025-01-01T00:00:00"/>
    <s v="Franchisee"/>
    <s v="GROUPE DERET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5980"/>
    <s v="IBIS BUDGET SETE CENTRE"/>
    <x v="4"/>
    <s v="03/11/2004"/>
    <n v="83"/>
    <x v="0"/>
    <s v="164 AVENUE DU MARECHAL JUIN"/>
    <s v="-"/>
    <s v="-"/>
    <x v="449"/>
    <s v="SETE"/>
    <s v="3.703347"/>
    <s v="43.406474"/>
    <s v="Centre ville"/>
    <d v="2025-01-01T00:00:00"/>
    <d v="2025-01-01T00:00:00"/>
    <s v="Franchisee"/>
    <s v="FAMILLE PHILIP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016"/>
    <s v="IBIS BUDGET NUITS SAINT GEORGES"/>
    <x v="4"/>
    <s v="21/02/2005"/>
    <n v="64"/>
    <x v="0"/>
    <s v="RUE CH.-A ARNOULT"/>
    <s v="ROND-POINT DE L'EUROPE"/>
    <s v="-"/>
    <x v="423"/>
    <s v="NUITS SAINT GEORGES"/>
    <s v="4.967483"/>
    <s v="47.133695"/>
    <s v="Centre ville"/>
    <d v="2025-01-01T00:00:00"/>
    <d v="2025-01-01T00:00:00"/>
    <s v="Franchisee"/>
    <s v="GROUPE DESFOSSEY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030"/>
    <s v="IBIS PERPIGNAN RIVESALTES"/>
    <x v="0"/>
    <s v="21/03/2005"/>
    <n v="30"/>
    <x v="4"/>
    <s v="7 RUE ALFRED SAUVY"/>
    <s v="RN9 KM9"/>
    <s v="-"/>
    <x v="57"/>
    <s v="RIVESALTES"/>
    <s v="2.902874"/>
    <s v="42.783653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6031"/>
    <s v="IBIS BUDGET PARIS PTE ITALIE EST"/>
    <x v="4"/>
    <s v="29/06/2012"/>
    <n v="170"/>
    <x v="3"/>
    <s v="20 RUE VOLTAIRE"/>
    <s v="-"/>
    <s v="-"/>
    <x v="418"/>
    <s v="KREMLIN BICETRE"/>
    <s v="2.363398"/>
    <s v="48.815859"/>
    <s v="Centre ville"/>
    <d v="2025-01-01T00:00:00"/>
    <d v="2025-01-01T00:00:00"/>
    <s v="Franchisee"/>
    <s v="FAMILLE FARINE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148"/>
    <s v="MERCURE VIENNE SUD CHANAS"/>
    <x v="1"/>
    <s v="01/10/1980"/>
    <n v="47"/>
    <x v="4"/>
    <s v="39 IMPASSE DE LA RIPAILLE"/>
    <s v="-"/>
    <s v="-"/>
    <x v="450"/>
    <s v="CHANAS"/>
    <s v="4.809651"/>
    <s v="45.316675"/>
    <s v="Centre ville"/>
    <d v="2025-01-01T00:00:00"/>
    <d v="2025-01-01T00:00:00"/>
    <s v="Franchisee"/>
    <s v="SOMNOO"/>
    <s v="Bello DIALLO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6177"/>
    <s v="IBIS BORDEAUX BASTIDE"/>
    <x v="0"/>
    <s v="01/03/2007"/>
    <n v="92"/>
    <x v="0"/>
    <s v="16 ALLEE SERR"/>
    <s v="ZAC COEUR DE BASTIDE"/>
    <s v="-"/>
    <x v="451"/>
    <s v="BORDEAUX"/>
    <s v="-0.559133"/>
    <s v="44.843083"/>
    <s v="Centre ville"/>
    <d v="2025-01-01T00:00:00"/>
    <d v="2025-01-01T00:00:00"/>
    <s v="Franchisee"/>
    <s v="GROUPE COVIVIO"/>
    <s v="Damien RAPHANEL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6188"/>
    <s v="MERCURE PARIS BOULOGNE"/>
    <x v="1"/>
    <s v="01/09/1990"/>
    <n v="191"/>
    <x v="3"/>
    <s v="37 PLACE RENÉ CLAIR"/>
    <s v="-"/>
    <s v="-"/>
    <x v="452"/>
    <s v="BOULOGNE BILLANCOURT"/>
    <s v="2.256274"/>
    <s v="48.833827"/>
    <s v="Centre ville"/>
    <d v="2025-01-01T00:00:00"/>
    <d v="2025-01-01T00:00:00"/>
    <s v="Franchisee"/>
    <s v="GROUPE COVIVIO"/>
    <s v="Hubert VANQUATHEM"/>
    <x v="1"/>
    <n v="1.5"/>
    <n v="0.7"/>
    <s v="January"/>
    <n v="0.6"/>
    <s v="August"/>
    <n v="0.8"/>
    <x v="0"/>
    <x v="2"/>
    <s v="No"/>
    <s v="Yes"/>
    <n v="13"/>
    <n v="1"/>
    <n v="0"/>
    <n v="1"/>
    <n v="0.5"/>
    <n v="0.5"/>
    <n v="0.4"/>
    <n v="0.6"/>
  </r>
  <r>
    <s v="H6190"/>
    <s v="IBIS MARSEILLE CENTRE EUROMED"/>
    <x v="0"/>
    <s v="30/07/2008"/>
    <n v="192"/>
    <x v="3"/>
    <s v="25 BOULEVARD DE DUNKERQUE"/>
    <s v="ACCES PARKING PUBLIC PAYANT"/>
    <s v="PAR LA RUE DES DOCKS"/>
    <x v="453"/>
    <s v="MARSEILLE"/>
    <s v="5.367737"/>
    <s v="43.307745"/>
    <s v="Centre ville"/>
    <d v="2025-01-01T00:00:00"/>
    <d v="2025-01-01T00:00:00"/>
    <s v="Managed"/>
    <s v="ACCORINVEST FRANCE"/>
    <s v="Philippe DUCROCQ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6202"/>
    <s v="IBIS STYLES STRASBOURG  MEINAU"/>
    <x v="2"/>
    <s v="01/01/1991"/>
    <n v="82"/>
    <x v="0"/>
    <s v="222 AVENUE DE COLMAR"/>
    <s v="-"/>
    <s v="-"/>
    <x v="454"/>
    <s v="STRASBOURG"/>
    <s v="7.746123"/>
    <s v="48.55611"/>
    <s v="Centre ville"/>
    <d v="2025-01-01T00:00:00"/>
    <d v="2025-01-01T00:00:00"/>
    <s v="Franchisee"/>
    <s v="FAMILLE HAMM"/>
    <s v="Christophe RUQUEBOEUCHE"/>
    <x v="0"/>
    <n v="1.5"/>
    <n v="0.7"/>
    <s v="January"/>
    <n v="0.6"/>
    <s v="August"/>
    <n v="0.8"/>
    <x v="0"/>
    <x v="1"/>
    <s v="No"/>
    <s v="Yes"/>
    <s v="-"/>
    <n v="1"/>
    <n v="0"/>
    <s v="-"/>
    <n v="0.5"/>
    <n v="0.5"/>
    <n v="0.4"/>
    <n v="0.6"/>
  </r>
  <r>
    <s v="H6223"/>
    <s v="MERCURE PARIS GARE DE  L EST"/>
    <x v="1"/>
    <s v="01/01/1950"/>
    <n v="45"/>
    <x v="4"/>
    <s v="1-3 COUR DE LA FERME ST LAZARE"/>
    <s v="ANGLE 79/81 BOULEVARD MAGENTA"/>
    <s v="-"/>
    <x v="144"/>
    <s v="PARIS"/>
    <s v="2.355741"/>
    <s v="48.876006"/>
    <s v="Centre ville"/>
    <d v="2025-01-01T00:00:00"/>
    <d v="2025-01-01T00:00:00"/>
    <s v="Franchisee"/>
    <s v="ALBORAN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229"/>
    <s v="IBIS BUDGET LAVAL"/>
    <x v="4"/>
    <s v="01/01/2005"/>
    <n v="54"/>
    <x v="0"/>
    <s v="2 RUE BERNARD PALISSY"/>
    <s v="RN 157"/>
    <s v="-"/>
    <x v="455"/>
    <s v="BONCHAMP"/>
    <s v="-0.725685"/>
    <s v="48.07244"/>
    <s v="Centre ville"/>
    <d v="2025-01-01T00:00:00"/>
    <d v="2025-01-01T00:00:00"/>
    <s v="Franchisee"/>
    <s v="GROUPE VIKINGS HOTELLERIE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232"/>
    <s v="IBIS ANNEMASSE ROUTE DE GENEVE"/>
    <x v="0"/>
    <s v="16/12/1975"/>
    <n v="99"/>
    <x v="0"/>
    <s v="38 RUE DE GENÈVE"/>
    <s v="-"/>
    <s v="-"/>
    <x v="456"/>
    <s v="ANNEMASSE"/>
    <s v="6.222639"/>
    <s v="46.192344"/>
    <s v="Centre ville"/>
    <d v="2025-01-01T00:00:00"/>
    <d v="2025-01-01T00:00:00"/>
    <s v="Franchisee"/>
    <s v="PASCAL DE PINGON"/>
    <s v="Bello DIALLO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6233"/>
    <s v="IBIS VITRE CENTRE VILLE"/>
    <x v="0"/>
    <s v="01/02/2007"/>
    <n v="62"/>
    <x v="0"/>
    <s v="1 BOULEVARD DE CHATEAUBRIANT"/>
    <s v="-"/>
    <s v="-"/>
    <x v="457"/>
    <s v="VITRE"/>
    <s v="-1.20974"/>
    <s v="48.119536"/>
    <s v="Centre ville"/>
    <d v="2025-01-01T00:00:00"/>
    <d v="2025-01-01T00:00:00"/>
    <s v="Franchisee"/>
    <s v="LOIC FERRE"/>
    <s v="Jean-Francois STEBL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6234"/>
    <s v="IBIS ALBERT"/>
    <x v="0"/>
    <s v="01/07/2008"/>
    <n v="57"/>
    <x v="0"/>
    <s v="PARC D'ACTIVITÉ HENRY POTEZ"/>
    <s v="-"/>
    <s v="-"/>
    <x v="458"/>
    <s v="ALBERT"/>
    <s v="2.67236"/>
    <s v="50.009587"/>
    <s v="Centre ville"/>
    <d v="2025-01-01T00:00:00"/>
    <d v="2025-01-01T00:00:00"/>
    <s v="Franchisee"/>
    <s v="FAMILLE FOUSSE"/>
    <s v="Muriel JACQUELIN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6237"/>
    <s v="MERCURE PERIGUEUX CENTRE"/>
    <x v="1"/>
    <s v="14/12/2004"/>
    <n v="68"/>
    <x v="0"/>
    <s v="7 PLACE FRANCHEVILLE"/>
    <s v="-"/>
    <s v="-"/>
    <x v="110"/>
    <s v="PERIGUEUX"/>
    <s v="0.717284"/>
    <s v="45.182335"/>
    <s v="Centre ville"/>
    <d v="2025-01-01T00:00:00"/>
    <d v="2025-01-01T00:00:00"/>
    <s v="Franchisee"/>
    <s v="ALAIN LE BRIS"/>
    <s v="Dominique CHEVANC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6238"/>
    <s v="MERCURE LIBOURNE SAINT EMILION"/>
    <x v="1"/>
    <s v="07/04/2007"/>
    <n v="81"/>
    <x v="0"/>
    <s v="3 QUAI SOUCHET"/>
    <s v="-"/>
    <s v="-"/>
    <x v="448"/>
    <s v="LIBOURNE"/>
    <s v="-0.247742"/>
    <s v="44.915619"/>
    <s v="Centre ville"/>
    <d v="2025-01-01T00:00:00"/>
    <d v="2025-01-01T00:00:00"/>
    <s v="Franchisee"/>
    <s v="KER HOSPITALITY"/>
    <s v="Jerome LANTERNI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6243"/>
    <s v="APPARTHOTEL PARIS BOULOGNE"/>
    <x v="1"/>
    <s v="01/09/1991"/>
    <n v="73"/>
    <x v="0"/>
    <s v="63 PLACE RENÉ CLAIR"/>
    <s v="-"/>
    <s v="-"/>
    <x v="452"/>
    <s v="BOULOGNE BILLANCOURT"/>
    <s v="2.256274"/>
    <s v="48.833827"/>
    <s v="Centre ville"/>
    <d v="2025-01-01T00:00:00"/>
    <d v="2025-01-01T00:00:00"/>
    <s v="Franchisee"/>
    <s v="SEP LE SCENARIO"/>
    <s v="Hubert VANQUATHEM"/>
    <x v="1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6245"/>
    <s v="IBIS BOULOGNE BILLANCOURT"/>
    <x v="0"/>
    <s v="01/01/2005"/>
    <n v="52"/>
    <x v="0"/>
    <s v="12 RUE DE LA FERME"/>
    <s v="-"/>
    <s v="-"/>
    <x v="452"/>
    <s v="BOULOGNE BILLANCOURT"/>
    <s v="2.238572"/>
    <s v="48.83083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276"/>
    <s v="IBIS BUDGET SAINT LO"/>
    <x v="4"/>
    <s v="06/05/2006"/>
    <n v="63"/>
    <x v="0"/>
    <s v="151 BD STRASBOURG"/>
    <s v="PARC DE L'EUROPE"/>
    <s v="-"/>
    <x v="182"/>
    <s v="SAINT LO"/>
    <s v="-1.083306"/>
    <s v="49.09919"/>
    <s v="Centre ville"/>
    <d v="2025-01-01T00:00:00"/>
    <d v="2025-01-01T00:00:00"/>
    <s v="Franchisee"/>
    <s v="FAMILLE CHOINARD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277"/>
    <s v="IBIS BUDGET MEUDON"/>
    <x v="4"/>
    <s v="13/04/2006"/>
    <n v="86"/>
    <x v="0"/>
    <s v="3 BIS RUE DE PARIS"/>
    <s v="-"/>
    <s v="-"/>
    <x v="459"/>
    <s v="MEUDON LA FORET"/>
    <s v="2.248914"/>
    <s v="48.817215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312"/>
    <s v="IBIS BUDGET BORDEAUX CENTRE"/>
    <x v="4"/>
    <s v="13/11/2006"/>
    <n v="89"/>
    <x v="0"/>
    <s v="26 ALLÉE SERR"/>
    <s v="-"/>
    <s v="-"/>
    <x v="451"/>
    <s v="BORDEAUX"/>
    <s v="-0.583489"/>
    <s v="44.836014"/>
    <s v="Centre ville"/>
    <d v="2025-01-01T00:00:00"/>
    <d v="2025-01-01T00:00:00"/>
    <s v="Franchisee"/>
    <s v="GROUPE DERET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357"/>
    <s v="MERCURE PARIS IVRY SEINE"/>
    <x v="1"/>
    <s v="01/01/1991"/>
    <n v="152"/>
    <x v="3"/>
    <s v="5 ALLÉE DE LA SEINE"/>
    <s v="-"/>
    <s v="-"/>
    <x v="460"/>
    <s v="IVRY SUR SEINE"/>
    <s v="2.400242"/>
    <s v="48.818298"/>
    <s v="Centre ville"/>
    <d v="2025-01-01T00:00:00"/>
    <d v="2025-01-01T00:00:00"/>
    <s v="Franchisee"/>
    <s v="BOISSEE FINANCES"/>
    <s v="Pierre LAGRANGE"/>
    <x v="1"/>
    <n v="1.5"/>
    <n v="0.7"/>
    <s v="January"/>
    <n v="0.6"/>
    <s v="August"/>
    <n v="0.8"/>
    <x v="0"/>
    <x v="0"/>
    <s v="No"/>
    <s v="Yes"/>
    <n v="10"/>
    <s v="-"/>
    <n v="0"/>
    <s v="-"/>
    <n v="0.5"/>
    <n v="0.5"/>
    <n v="0.4"/>
    <n v="0.6"/>
  </r>
  <r>
    <s v="H6372"/>
    <s v="IBIS BUDGET AIX EN PROVENCE"/>
    <x v="4"/>
    <s v="01/08/1993"/>
    <n v="80"/>
    <x v="0"/>
    <s v="10 RUE DU LIEUTENANT PARAYRE"/>
    <s v="PÔLE D'ACTIVITÉ AIX EN PROVENCE"/>
    <s v="-"/>
    <x v="461"/>
    <s v="AIX EN PROVENCE"/>
    <s v="5.368616"/>
    <s v="43.494622"/>
    <s v="Centre ville"/>
    <d v="2025-01-01T00:00:00"/>
    <d v="2025-01-01T00:00:00"/>
    <s v="Franchisee"/>
    <s v="JEAN-LOUIS MEYER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385"/>
    <s v="IBIS BUDGET METZ SUD AUGNY"/>
    <x v="4"/>
    <s v="01/01/2007"/>
    <n v="67"/>
    <x v="0"/>
    <s v="491RUE DES GRAVIÈRES"/>
    <s v="PÔLE ACTISUD"/>
    <s v="-"/>
    <x v="462"/>
    <s v="AUGNY"/>
    <s v="6.110955"/>
    <s v="49.077458"/>
    <s v="Centre ville"/>
    <d v="2025-01-01T00:00:00"/>
    <d v="2025-01-01T00:00:00"/>
    <s v="Franchisee"/>
    <s v="C.F.H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392"/>
    <s v="IBIS BUDGET THONON LES BAINS"/>
    <x v="4"/>
    <s v="01/03/2017"/>
    <n v="88"/>
    <x v="0"/>
    <s v="AVENUE DE LA GRANGETTE"/>
    <s v="LA GRANGETTE"/>
    <s v="-"/>
    <x v="179"/>
    <s v="THONON LES BAINS"/>
    <s v="6.465645"/>
    <s v="46.363056"/>
    <s v="Centre ville"/>
    <d v="2025-01-01T00:00:00"/>
    <d v="2025-01-01T00:00:00"/>
    <s v="Franchisee"/>
    <s v="LAURENCE DONAT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398"/>
    <s v="MERCURE VALENCE SUD"/>
    <x v="1"/>
    <s v="30/04/1987"/>
    <n v="75"/>
    <x v="0"/>
    <s v="2 RUE DE CHANTECOURIOL"/>
    <s v="-"/>
    <s v="-"/>
    <x v="78"/>
    <s v="VALENCE (FR)"/>
    <s v="4.879295"/>
    <s v="44.903015"/>
    <s v="Centre ville"/>
    <d v="2025-01-01T00:00:00"/>
    <d v="2025-01-01T00:00:00"/>
    <s v="Franchisee"/>
    <s v="PASCAL DONAT"/>
    <s v="Bello DIALLO"/>
    <x v="0"/>
    <n v="1.5"/>
    <n v="0.7"/>
    <s v="January"/>
    <n v="0.6"/>
    <s v="August"/>
    <n v="0.8"/>
    <x v="0"/>
    <x v="2"/>
    <s v="No"/>
    <s v="Yes"/>
    <n v="1"/>
    <s v="-"/>
    <n v="0"/>
    <s v="-"/>
    <n v="0.5"/>
    <n v="0.5"/>
    <n v="0.4"/>
    <n v="0.6"/>
  </r>
  <r>
    <s v="H6400"/>
    <s v="IBIS BUDGET SAINT GAUDENS"/>
    <x v="4"/>
    <s v="18/06/2007"/>
    <n v="60"/>
    <x v="0"/>
    <s v="3 AVENUE DU PIC DU MIDI"/>
    <s v="PARC D'ACTIVITÉS DES LANDES"/>
    <s v="-"/>
    <x v="463"/>
    <s v="SAINT GAUDENS"/>
    <s v="0.759754"/>
    <s v="43.114117"/>
    <s v="Centre ville"/>
    <d v="2025-01-01T00:00:00"/>
    <d v="2025-01-01T00:00:00"/>
    <s v="Franchisee"/>
    <s v="GERARD DAUBANES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464"/>
    <s v="IBIS BUDGET TOULOUSE AEROPORT"/>
    <x v="4"/>
    <s v="01/01/2009"/>
    <n v="106"/>
    <x v="1"/>
    <s v="AVENUE DIDIER DAURAT"/>
    <s v="-"/>
    <s v="-"/>
    <x v="151"/>
    <s v="BLAGNAC"/>
    <s v="1.382778"/>
    <s v="43.625833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518"/>
    <s v="IBIS CANNES MANDELIEU"/>
    <x v="0"/>
    <s v="01/03/2007"/>
    <n v="96"/>
    <x v="0"/>
    <s v="802 BOULEVARD DES ECUREUILS"/>
    <s v="-"/>
    <s v="-"/>
    <x v="464"/>
    <s v="MANDELIEU"/>
    <s v="6.940333"/>
    <s v="43.545711"/>
    <s v="Centre ville"/>
    <d v="2025-01-01T00:00:00"/>
    <d v="2025-01-01T00:00:00"/>
    <s v="Franchisee"/>
    <s v="EMMANUEL SANTIAGO"/>
    <s v="Marion BOROT"/>
    <x v="0"/>
    <n v="1.5"/>
    <n v="0.7"/>
    <s v="January"/>
    <n v="0.6"/>
    <s v="August"/>
    <n v="0.8"/>
    <x v="0"/>
    <x v="1"/>
    <s v="No"/>
    <s v="Yes"/>
    <n v="4"/>
    <n v="1"/>
    <n v="0"/>
    <s v="-"/>
    <n v="0.5"/>
    <n v="0.5"/>
    <n v="0.4"/>
    <n v="0.6"/>
  </r>
  <r>
    <s v="H6546"/>
    <s v="IBIS DUNKERQUE CENTRE"/>
    <x v="0"/>
    <s v="01/01/1983"/>
    <n v="120"/>
    <x v="1"/>
    <s v="13 RUE DE LEUGHENAER"/>
    <s v="-"/>
    <s v="-"/>
    <x v="465"/>
    <s v="DUNKIRK"/>
    <s v="2.379771"/>
    <s v="51.040584"/>
    <s v="Centre ville"/>
    <d v="2025-01-01T00:00:00"/>
    <d v="2025-01-01T00:00:00"/>
    <s v="Franchisee"/>
    <s v="FAMILLE DUCROCQ"/>
    <s v="Muriel JACQUELINE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6549"/>
    <s v="IBIS VALENCIENNES"/>
    <x v="0"/>
    <s v="01/01/1992"/>
    <n v="89"/>
    <x v="0"/>
    <s v="90 RUE  BAUDOUIN  L EDIFIEUR"/>
    <s v="-"/>
    <s v="-"/>
    <x v="466"/>
    <s v="VALENCIENNES"/>
    <s v="3.526085"/>
    <s v="50.350373"/>
    <s v="Centre ville"/>
    <d v="2025-01-01T00:00:00"/>
    <d v="2025-01-01T00:00:00"/>
    <s v="Franchisee"/>
    <s v="FAMILLE BROUILLARD"/>
    <s v="Muriel JACQUELINE"/>
    <x v="0"/>
    <n v="1.5"/>
    <n v="0.7"/>
    <s v="January"/>
    <n v="0.6"/>
    <s v="August"/>
    <n v="0.8"/>
    <x v="2"/>
    <x v="1"/>
    <s v="No"/>
    <s v="Yes"/>
    <s v="-"/>
    <s v="-"/>
    <n v="0"/>
    <s v="-"/>
    <n v="0.5"/>
    <n v="0.5"/>
    <n v="0.4"/>
    <n v="0.6"/>
  </r>
  <r>
    <s v="H6550"/>
    <s v="IBIS PONTARLIER"/>
    <x v="0"/>
    <s v="21/01/1977"/>
    <n v="66"/>
    <x v="0"/>
    <s v="68 RUE DE SALINS"/>
    <s v="-"/>
    <s v="-"/>
    <x v="467"/>
    <s v="PONTARLIER"/>
    <s v="6.335828"/>
    <s v="46.90979"/>
    <s v="Centre ville"/>
    <d v="2025-01-01T00:00:00"/>
    <d v="2025-01-01T00:00:00"/>
    <s v="Franchisee"/>
    <s v="GROUPE DESFOSSEY"/>
    <s v="Eric MARAIS"/>
    <x v="0"/>
    <n v="1.5"/>
    <n v="0.7"/>
    <s v="January"/>
    <n v="0.6"/>
    <s v="August"/>
    <n v="0.8"/>
    <x v="0"/>
    <x v="0"/>
    <s v="No"/>
    <s v="Yes"/>
    <n v="1"/>
    <s v="-"/>
    <n v="1"/>
    <s v="-"/>
    <n v="0.5"/>
    <n v="0.5"/>
    <n v="0.4"/>
    <n v="0.6"/>
  </r>
  <r>
    <s v="H6552"/>
    <s v="IBIS MARTIGUES"/>
    <x v="0"/>
    <s v="28/02/2008"/>
    <n v="83"/>
    <x v="0"/>
    <s v="ROND POINT DE L'HOTEL DE VILLE"/>
    <s v="AVENUE LOUIS SAMMUT"/>
    <s v="-"/>
    <x v="468"/>
    <s v="MARTIGUES"/>
    <s v="5.049501"/>
    <s v="43.40641"/>
    <s v="Centre ville"/>
    <d v="2025-01-01T00:00:00"/>
    <d v="2025-01-01T00:00:00"/>
    <s v="Franchisee"/>
    <s v="FAMILLE PHILIP"/>
    <s v="Alexandra LAUNAY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6553"/>
    <s v="IBIS CIBOURE ST JEAN DE LUZ"/>
    <x v="0"/>
    <s v="11/12/2007"/>
    <n v="72"/>
    <x v="0"/>
    <s v="13 RUE GEORGES OLASCUAGA"/>
    <s v="-"/>
    <s v="-"/>
    <x v="469"/>
    <s v="CIBOURE"/>
    <s v="-1.665212"/>
    <s v="43.383866"/>
    <s v="Centre ville"/>
    <d v="2025-01-01T00:00:00"/>
    <d v="2025-01-01T00:00:00"/>
    <s v="Franchisee"/>
    <s v="ARROSTEGUY-OLANO"/>
    <s v="Jerome LANTERN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559"/>
    <s v="IBIS BUDGET ANCENIS"/>
    <x v="4"/>
    <s v="01/04/2008"/>
    <n v="63"/>
    <x v="0"/>
    <s v="630 RUE DE L'INDUSTRIE"/>
    <s v="ZONE DU CHATEAU ROUGE"/>
    <s v="-"/>
    <x v="470"/>
    <s v="MESANGER"/>
    <s v="-1.190633"/>
    <s v="47.416083"/>
    <s v="Centre ville"/>
    <d v="2025-01-01T00:00:00"/>
    <d v="2025-01-01T00:00:00"/>
    <s v="Franchisee"/>
    <s v="PATRICIA MAUFRAS DU CHATELIER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560"/>
    <s v="IBIS BUDGET CIBOURE ST-JEAN-LUZ"/>
    <x v="4"/>
    <s v="08/05/2008"/>
    <n v="47"/>
    <x v="4"/>
    <s v="13 RUE GEORGES OLASCUAGA"/>
    <s v="-"/>
    <s v="-"/>
    <x v="469"/>
    <s v="CIBOURE"/>
    <s v="-1.664499"/>
    <s v="43.383644"/>
    <s v="Centre ville"/>
    <d v="2025-01-01T00:00:00"/>
    <d v="2025-01-01T00:00:00"/>
    <s v="Franchisee"/>
    <s v="ARROSTEGUY-OLANO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561"/>
    <s v="IBIS BUDGET AMBOISE"/>
    <x v="4"/>
    <s v="01/05/2007"/>
    <n v="72"/>
    <x v="0"/>
    <s v="1 RUE DU CLOS BOURGET"/>
    <s v="-"/>
    <s v="-"/>
    <x v="38"/>
    <s v="AMBOISE"/>
    <s v="0.988312"/>
    <s v="47.397262"/>
    <s v="Centre ville"/>
    <d v="2025-01-01T00:00:00"/>
    <d v="2025-01-01T00:00:00"/>
    <s v="Franchisee"/>
    <s v="JEAN-PIERRE BERTOLINO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562"/>
    <s v="IBIS BUDGET BREST CENTRE PORT"/>
    <x v="4"/>
    <s v="01/01/2013"/>
    <n v="63"/>
    <x v="0"/>
    <s v="31 RUE JEAN MARIE LE BRIS"/>
    <s v="-"/>
    <s v="-"/>
    <x v="249"/>
    <s v="BREST"/>
    <s v="-4.484197"/>
    <s v="48.383808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6563"/>
    <s v="IBIS BUDGET PONTIVY"/>
    <x v="4"/>
    <s v="15/07/2009"/>
    <n v="52"/>
    <x v="0"/>
    <s v="LOTISSEMENT SAINT NIEL"/>
    <s v="97 AVENUE DE LA LIBÉRATION"/>
    <s v="-"/>
    <x v="396"/>
    <s v="PONTIVY"/>
    <s v="-2.943988"/>
    <s v="48.070774"/>
    <s v="Centre ville"/>
    <d v="2025-01-01T00:00:00"/>
    <d v="2025-01-01T00:00:00"/>
    <s v="Franchisee"/>
    <s v="GROUPE VIGILIS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644"/>
    <s v="MERCURE GRANVILLE GRAND LARGE"/>
    <x v="1"/>
    <s v="10/04/1993"/>
    <n v="66"/>
    <x v="0"/>
    <s v="5 RUE DE LA FALAISE"/>
    <s v="-"/>
    <s v="-"/>
    <x v="367"/>
    <s v="GRANVILLE"/>
    <s v="-1.596381"/>
    <s v="48.839817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1"/>
    <s v="No"/>
    <s v="Yes"/>
    <n v="1"/>
    <n v="1"/>
    <n v="1"/>
    <s v="-"/>
    <n v="0.5"/>
    <n v="0.5"/>
    <n v="0.4"/>
    <n v="0.6"/>
  </r>
  <r>
    <s v="H6648"/>
    <s v="MERCURE BORDS DE LOIRE SAUMUR"/>
    <x v="1"/>
    <s v="15/06/1988"/>
    <n v="53"/>
    <x v="0"/>
    <s v="1 RUE DU VIEUX PONT"/>
    <s v="-"/>
    <s v="-"/>
    <x v="471"/>
    <s v="SAUMUR"/>
    <s v="-0.071706"/>
    <s v="47.26182"/>
    <s v="Centre ville"/>
    <d v="2025-01-01T00:00:00"/>
    <d v="2025-01-01T00:00:00"/>
    <s v="Franchisee"/>
    <s v="FAMILLE BERTRAND"/>
    <s v="Jean-Francois STEBLER"/>
    <x v="0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6671"/>
    <s v="IBIS BUDGET ORANGE CENTRE"/>
    <x v="4"/>
    <s v="01/01/2007"/>
    <n v="70"/>
    <x v="0"/>
    <s v="23 CHEMIN DE QUEYRADEL"/>
    <s v="ZAC DE LA BRUNETTE"/>
    <s v="-"/>
    <x v="178"/>
    <s v="ORANGE (FR)"/>
    <s v="4.797023"/>
    <s v="44.135567"/>
    <s v="Centre ville"/>
    <d v="2025-01-01T00:00:00"/>
    <d v="2025-01-01T00:00:00"/>
    <s v="Franchisee"/>
    <s v="FAMILLE LE CARDIET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673"/>
    <s v="IBIS BUDGET LILLE WASQUEHAL"/>
    <x v="4"/>
    <s v="29/01/2007"/>
    <n v="67"/>
    <x v="0"/>
    <s v="LE PARC DE L'ÉCLUSE"/>
    <s v="AVENUE DU GRAND COTTIGNIES"/>
    <s v="-"/>
    <x v="472"/>
    <s v="WASQUEHAL"/>
    <s v="3.133673"/>
    <s v="50.683547"/>
    <s v="Centre ville"/>
    <d v="2025-01-01T00:00:00"/>
    <d v="2025-01-01T00:00:00"/>
    <s v="Franchisee"/>
    <s v="ACCORINVEST FRANCE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674"/>
    <s v="IBIS BUDGET NANTES ST HERBLAIN"/>
    <x v="4"/>
    <s v="29/01/2007"/>
    <n v="67"/>
    <x v="0"/>
    <s v="LOT LES LIONS"/>
    <s v="AVENUE DES LIONS"/>
    <s v="-"/>
    <x v="473"/>
    <s v="SAINT HERBLAIN"/>
    <s v="-1.619877"/>
    <s v="47.247703"/>
    <s v="Centre ville"/>
    <d v="2025-01-01T00:00:00"/>
    <d v="2025-01-01T00:00:00"/>
    <s v="Franchisee"/>
    <s v="BOUCLET - MOUCHONNET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675"/>
    <s v="IBIS BUDGET BORDEAUX SUD"/>
    <x v="4"/>
    <s v="01/09/2002"/>
    <n v="76"/>
    <x v="0"/>
    <s v="CENTRE D'ORNON"/>
    <s v="CHEMIN DE SARCIGNAN"/>
    <s v="-"/>
    <x v="304"/>
    <s v="BORDEAUX"/>
    <s v="-0.571875"/>
    <s v="44.777885"/>
    <s v="Centre ville"/>
    <d v="2025-01-01T00:00:00"/>
    <d v="2025-01-01T00:00:00"/>
    <s v="Managed"/>
    <s v="ACCORINVEST FRANCE"/>
    <s v="Lionel VANDERLOOVE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677"/>
    <s v="IBIS BUDGET MARSEILLE VALENTINE"/>
    <x v="4"/>
    <s v="05/01/2005"/>
    <n v="91"/>
    <x v="0"/>
    <s v="149 TRAVERSE DE LA MARTINE"/>
    <s v="-"/>
    <s v="-"/>
    <x v="474"/>
    <s v="MARSEILLE"/>
    <s v="5.474832"/>
    <s v="43.300258"/>
    <s v="Centre ville"/>
    <d v="2025-01-01T00:00:00"/>
    <d v="2025-01-01T00:00:00"/>
    <s v="Franchisee"/>
    <s v="ACCORINVEST FRANCE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752"/>
    <s v="MERCURE THALASSA PORT FREJUS"/>
    <x v="1"/>
    <s v="01/01/1993"/>
    <n v="117"/>
    <x v="1"/>
    <s v="16 QUAI DEI CARAVELLO"/>
    <s v="PORT-FRÉJUS OUEST"/>
    <s v="-"/>
    <x v="334"/>
    <s v="FREJUS"/>
    <s v="6.746528"/>
    <s v="43.420183"/>
    <s v="Centre ville"/>
    <d v="2025-01-01T00:00:00"/>
    <d v="2025-01-01T00:00:00"/>
    <s v="Franchisee"/>
    <s v="GROUPE KERDONIS"/>
    <s v="Marion BOROT"/>
    <x v="1"/>
    <n v="1.5"/>
    <n v="0.7"/>
    <s v="January"/>
    <n v="0.6"/>
    <s v="August"/>
    <n v="0.8"/>
    <x v="1"/>
    <x v="0"/>
    <s v="No"/>
    <s v="Yes"/>
    <n v="3"/>
    <s v="-"/>
    <n v="1"/>
    <n v="1"/>
    <n v="0.5"/>
    <n v="0.5"/>
    <n v="0.4"/>
    <n v="0.6"/>
  </r>
  <r>
    <s v="H6755"/>
    <s v="IBIS BUDGET REDON"/>
    <x v="4"/>
    <s v="01/09/2007"/>
    <n v="46"/>
    <x v="4"/>
    <s v="7 RUE LOUIS GUILLOUX"/>
    <s v="ROUTE DE RENNES"/>
    <s v="-"/>
    <x v="475"/>
    <s v="REDON"/>
    <s v="-2.064397"/>
    <s v="47.674724"/>
    <s v="Centre ville"/>
    <d v="2025-01-01T00:00:00"/>
    <d v="2025-01-01T00:00:00"/>
    <s v="Franchisee"/>
    <s v="FAMILLE DUAULT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765"/>
    <s v="IBIS BUDGET  BOURG EN BRESSE"/>
    <x v="4"/>
    <s v="08/01/2008"/>
    <n v="60"/>
    <x v="0"/>
    <s v="409  AVENUE DE PARME"/>
    <s v="ZAC DES BELOUSES"/>
    <s v="-"/>
    <x v="93"/>
    <s v="BOURG EN BRESSE"/>
    <s v="5.249158"/>
    <s v="46.219002"/>
    <s v="Centre ville"/>
    <d v="2025-01-01T00:00:00"/>
    <d v="2025-01-01T00:00:00"/>
    <s v="Franchisee"/>
    <s v="KER HOSPITALITY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850"/>
    <s v="IBIS STYLES STRASBOURG GARE"/>
    <x v="2"/>
    <s v="02/01/1985"/>
    <n v="48"/>
    <x v="4"/>
    <s v="14 RUE  MAIRE KUSS"/>
    <s v="-"/>
    <s v="-"/>
    <x v="68"/>
    <s v="STRASBOURG"/>
    <s v="7.736266"/>
    <s v="48.584274"/>
    <s v="Centre ville"/>
    <d v="2025-01-01T00:00:00"/>
    <d v="2025-01-01T00:00:00"/>
    <s v="Franchisee"/>
    <s v="FRANCOIS GARCHER"/>
    <s v="Christophe RUQUEBOE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851"/>
    <s v="MERCURE ANGERS CENTRE GARE"/>
    <x v="1"/>
    <s v="01/01/1971"/>
    <n v="80"/>
    <x v="0"/>
    <s v="18 BOULEVARD FOCH"/>
    <s v="-"/>
    <s v="-"/>
    <x v="86"/>
    <s v="ANGERS"/>
    <s v="-0.549639"/>
    <s v="47.469162"/>
    <s v="Centre ville"/>
    <d v="2025-01-01T00:00:00"/>
    <d v="2025-01-01T00:00:00"/>
    <s v="Franchisee"/>
    <s v="FERRE HOTELS"/>
    <s v="Jean-Francois STEBLER"/>
    <x v="4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6852"/>
    <s v="IBIS STYLES NANCY CENTRE GARE"/>
    <x v="2"/>
    <s v="01/01/1947"/>
    <n v="85"/>
    <x v="0"/>
    <s v="3 RUE DE L'ARMÉE PATTON"/>
    <s v="PARKING : 40 RUE RAYMOND POINCARÉ"/>
    <s v="-"/>
    <x v="194"/>
    <s v="NANCY"/>
    <s v="6.171475"/>
    <s v="48.690319"/>
    <s v="Centre ville"/>
    <d v="2025-01-01T00:00:00"/>
    <d v="2025-01-01T00:00:00"/>
    <s v="Franchisee"/>
    <s v="FAMILLE GIRARD"/>
    <s v="Christophe RUQUEBOE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6853"/>
    <s v="IBIS STYLES MACON CENTRE"/>
    <x v="2"/>
    <s v="01/01/1905"/>
    <n v="56"/>
    <x v="0"/>
    <s v="91 RUE VICTOR HUGO"/>
    <s v="-"/>
    <s v="-"/>
    <x v="67"/>
    <s v="MACON"/>
    <s v="4.82718"/>
    <s v="46.303623"/>
    <s v="Centre ville"/>
    <d v="2025-01-01T00:00:00"/>
    <d v="2025-01-01T00:00:00"/>
    <s v="Franchisee"/>
    <s v="KER HOSPITALITY"/>
    <s v="Katia GARNIER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6854"/>
    <s v="IBIS STYLES METZ CENTRE GARE"/>
    <x v="2"/>
    <s v="30/11/1904"/>
    <n v="72"/>
    <x v="0"/>
    <s v="23 AVENUE FOCH"/>
    <s v="PARKING PUBLIC : 9 RUE GAMBETTA"/>
    <s v="-"/>
    <x v="91"/>
    <s v="METZ"/>
    <s v="6.176702"/>
    <s v="49.111404"/>
    <s v="Centre ville"/>
    <d v="2025-01-01T00:00:00"/>
    <d v="2025-01-01T00:00:00"/>
    <s v="Franchisee"/>
    <s v="FERRE HOTELS"/>
    <s v="Christophe RUQUEBOEUCHE"/>
    <x v="1"/>
    <n v="1.5"/>
    <n v="0.7"/>
    <s v="January"/>
    <n v="0.6"/>
    <s v="August"/>
    <n v="0.8"/>
    <x v="1"/>
    <x v="1"/>
    <s v="No"/>
    <s v="Yes"/>
    <n v="3"/>
    <s v="-"/>
    <n v="0"/>
    <s v="-"/>
    <n v="0.5"/>
    <n v="0.5"/>
    <n v="0.4"/>
    <n v="0.6"/>
  </r>
  <r>
    <s v="H6855"/>
    <s v="IBIS STYLES NANTES ROYALE"/>
    <x v="2"/>
    <s v="01/01/1987"/>
    <n v="65"/>
    <x v="0"/>
    <s v="3 RUE COUEDIC"/>
    <s v="-"/>
    <s v="-"/>
    <x v="172"/>
    <s v="NANTES"/>
    <s v="-1.557138"/>
    <s v="47.214027"/>
    <s v="Centre ville"/>
    <d v="2025-01-01T00:00:00"/>
    <d v="2025-01-01T00:00:00"/>
    <s v="Franchisee"/>
    <s v="FERRE HOTELS"/>
    <s v="Jean-Luc RABAULT"/>
    <x v="4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859"/>
    <s v="IBIS STYLES LE MANS GARE SUD"/>
    <x v="2"/>
    <s v="01/01/1987"/>
    <n v="76"/>
    <x v="0"/>
    <s v="79 BOULEVARD ALEXANDRE OYON"/>
    <s v="-"/>
    <s v="-"/>
    <x v="4"/>
    <s v="LE MANS"/>
    <s v="0.190837"/>
    <s v="47.994743"/>
    <s v="Centre ville"/>
    <d v="2025-01-01T00:00:00"/>
    <d v="2025-01-01T00:00:00"/>
    <s v="Franchisee"/>
    <s v="B.H.I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864"/>
    <s v="IBIS QUIMPERLE"/>
    <x v="0"/>
    <s v="01/06/1991"/>
    <n v="51"/>
    <x v="0"/>
    <s v="15 RUE ALBERT SCHWEITZER"/>
    <s v="KERVIDANOU 3"/>
    <s v="-"/>
    <x v="476"/>
    <s v="QUIMPERLE"/>
    <s v="-3.588538"/>
    <s v="47.868963"/>
    <s v="Centre ville"/>
    <d v="2025-01-01T00:00:00"/>
    <d v="2025-01-01T00:00:00"/>
    <s v="Franchisee"/>
    <s v="OLIVIER SAVOUREL"/>
    <s v="Jean-Luc RABAULT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6865"/>
    <s v="IBIS BAYEUX PORT EN BESSIN"/>
    <x v="0"/>
    <s v="30/04/2008"/>
    <n v="62"/>
    <x v="0"/>
    <s v="12 QUAI BARON GERARD"/>
    <s v="-"/>
    <s v="-"/>
    <x v="234"/>
    <s v="PORT EN BESSIN"/>
    <s v="-0.753171"/>
    <s v="49.346783"/>
    <s v="Centre ville"/>
    <d v="2025-01-01T00:00:00"/>
    <d v="2025-01-01T00:00:00"/>
    <s v="Franchisee"/>
    <s v="BLACHER-DUPONT"/>
    <s v="Ronan LE MEUR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866"/>
    <s v="IBIS CANNES MOUANS SARTOUX"/>
    <x v="0"/>
    <s v="01/07/2008"/>
    <n v="67"/>
    <x v="0"/>
    <s v="20 AVENUE DES SOURCES"/>
    <s v="-"/>
    <s v="-"/>
    <x v="477"/>
    <s v="MOUANS SARTOUX"/>
    <s v="6.97428"/>
    <s v="43.621017"/>
    <s v="Centre ville"/>
    <d v="2025-01-01T00:00:00"/>
    <d v="2025-01-01T00:00:00"/>
    <s v="Franchisee"/>
    <s v="WILFRID KIENER"/>
    <s v="Marion BORO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6867"/>
    <s v="IBIS LYON SUD VIENNE ST LOUIS"/>
    <x v="0"/>
    <s v="03/01/2009"/>
    <n v="80"/>
    <x v="0"/>
    <s v="PLACE SAINT LOUIS"/>
    <s v="QUAI PAJOT"/>
    <s v="-"/>
    <x v="260"/>
    <s v="VIENNE (FRANCE)"/>
    <s v="4.874133"/>
    <s v="45.528596"/>
    <s v="Centre ville"/>
    <d v="2025-01-01T00:00:00"/>
    <d v="2025-01-01T00:00:00"/>
    <s v="Franchisee"/>
    <s v="CASTELLET HOSPITALITY"/>
    <s v="Bello DIALLO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6868"/>
    <s v="IBIS SARLAT"/>
    <x v="0"/>
    <s v="01/04/2009"/>
    <n v="69"/>
    <x v="0"/>
    <s v="8 RUE GABRIEL TARDE"/>
    <s v="-"/>
    <s v="-"/>
    <x v="478"/>
    <s v="SARLAT"/>
    <s v="1.21555"/>
    <s v="44.881214"/>
    <s v="Centre ville"/>
    <d v="2025-01-01T00:00:00"/>
    <d v="2025-01-01T00:00:00"/>
    <s v="Franchisee"/>
    <s v="FAMILLE BOHY"/>
    <s v="Dominique CHEVANC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872"/>
    <s v="IBIS BUDGET VERDUN"/>
    <x v="4"/>
    <s v="29/11/2009"/>
    <n v="70"/>
    <x v="0"/>
    <s v="RUE JEAN NORTON-CRU"/>
    <s v="ZAC SUD  ACTIPÔLE"/>
    <s v="-"/>
    <x v="479"/>
    <s v="VERDUN"/>
    <s v="5.409608"/>
    <s v="49.147819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875"/>
    <s v="IBIS STYLES BOURGES"/>
    <x v="2"/>
    <s v="31/03/2008"/>
    <n v="66"/>
    <x v="0"/>
    <s v="ZAC DE L'ECHANGEUR"/>
    <s v="RUE ARISTIDE AUXENFANS"/>
    <s v="-"/>
    <x v="158"/>
    <s v="BOURGES"/>
    <s v="2.350586"/>
    <s v="47.04517"/>
    <s v="Centre ville"/>
    <d v="2025-01-01T00:00:00"/>
    <d v="2025-01-01T00:00:00"/>
    <s v="Franchisee"/>
    <s v="GEST HOTEL"/>
    <s v="Bruno COQUAZ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6877"/>
    <s v="IBIS BUDGET CHATEAUDUN"/>
    <x v="4"/>
    <s v="18/10/2007"/>
    <n v="55"/>
    <x v="0"/>
    <s v="RN 10"/>
    <s v="ZAC LES GARENNES"/>
    <s v="-"/>
    <x v="480"/>
    <s v="CHATEAUDUN"/>
    <s v="1.335475"/>
    <s v="48.087577"/>
    <s v="Centre ville"/>
    <d v="2025-01-01T00:00:00"/>
    <d v="2025-01-01T00:00:00"/>
    <s v="Franchisee"/>
    <s v="FERRE HOTEL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886"/>
    <s v="IBIS BUDGET CHATILLON"/>
    <x v="4"/>
    <s v="01/01/2007"/>
    <n v="80"/>
    <x v="0"/>
    <s v="111 AVENUE DE VERDUN"/>
    <s v="ZAC DES SABLONS/ LOT &quot;C&quot;"/>
    <s v="-"/>
    <x v="481"/>
    <s v="CHATILLON"/>
    <s v="2.28023"/>
    <s v="48.798624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888"/>
    <s v="IBIS BUDGET BESANCON NORD"/>
    <x v="4"/>
    <s v="18/10/2007"/>
    <n v="38"/>
    <x v="4"/>
    <s v="1 RUE DE LA POSTE"/>
    <s v="-"/>
    <s v="-"/>
    <x v="482"/>
    <s v="BESANCON"/>
    <s v="5.994608"/>
    <s v="47.277759"/>
    <s v="Centre ville"/>
    <d v="2025-01-01T00:00:00"/>
    <d v="2025-01-01T00:00:00"/>
    <s v="Franchisee"/>
    <s v="FERRE HOTELS"/>
    <s v="Eric MARAIS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6889"/>
    <s v="IBIS BEAUVAIS AEROPORT"/>
    <x v="0"/>
    <s v="01/06/2009"/>
    <n v="78"/>
    <x v="0"/>
    <s v="1 RUE JACQUES GODDET"/>
    <s v="-"/>
    <s v="-"/>
    <x v="8"/>
    <s v="BEAUVAIS"/>
    <s v="2.112895"/>
    <s v="49.437805"/>
    <s v="Centre ville"/>
    <d v="2025-01-01T00:00:00"/>
    <d v="2025-01-01T00:00:00"/>
    <s v="Franchisee"/>
    <s v="LUDOVIC WALOSZEK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916"/>
    <s v="IBIS STYLES ORLEANS"/>
    <x v="2"/>
    <s v="01/01/1984"/>
    <n v="42"/>
    <x v="4"/>
    <s v="7 RUE D'AQUITAINE"/>
    <s v="-"/>
    <s v="-"/>
    <x v="483"/>
    <s v="LA CHAPELLE SAINT MESMIN"/>
    <s v="1.854892"/>
    <s v="47.899413"/>
    <s v="Centre ville"/>
    <d v="2025-01-01T00:00:00"/>
    <d v="2025-01-01T00:00:00"/>
    <s v="Franchisee"/>
    <s v="FERRE HOTELS"/>
    <s v="Bruno COQUAZ"/>
    <x v="4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6917"/>
    <s v="IBIS BUDGET PARIS COEUR D ORLY"/>
    <x v="4"/>
    <s v="22/03/2015"/>
    <n v="154"/>
    <x v="3"/>
    <s v="1 AVENUE DE L UNION"/>
    <s v="-"/>
    <s v="-"/>
    <x v="484"/>
    <s v="ORLY"/>
    <s v="2.372029"/>
    <s v="48.731523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6920"/>
    <s v="IBIS STYLES ANGERS CENTRE GARE"/>
    <x v="2"/>
    <s v="01/01/1986"/>
    <n v="72"/>
    <x v="0"/>
    <s v="23 BIS RUE PAUL BERT"/>
    <s v="-"/>
    <s v="-"/>
    <x v="86"/>
    <s v="ANGERS"/>
    <s v="-0.550351"/>
    <s v="47.465382"/>
    <s v="Centre ville"/>
    <d v="2025-01-01T00:00:00"/>
    <d v="2025-01-01T00:00:00"/>
    <s v="Franchisee"/>
    <s v="FERRE HOTELS"/>
    <s v="Jean-Francois STEBLER"/>
    <x v="4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6923"/>
    <s v="IBIS STYLES FONTENAY"/>
    <x v="2"/>
    <s v="01/09/1984"/>
    <n v="100"/>
    <x v="1"/>
    <s v="2-4 AVENUE DU VAL DE FONTENAY"/>
    <s v="-"/>
    <s v="-"/>
    <x v="204"/>
    <s v="FONTENAY SOUS BOIS"/>
    <s v="2.486206"/>
    <s v="48.852646"/>
    <s v="Centre ville"/>
    <d v="2025-01-01T00:00:00"/>
    <d v="2025-01-01T00:00:00"/>
    <s v="Franchisee"/>
    <s v="FERRE HOTELS"/>
    <s v="Sophie CHOLLON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6924"/>
    <s v="IBIS STYLES CHOLET"/>
    <x v="2"/>
    <s v="01/01/1992"/>
    <n v="60"/>
    <x v="0"/>
    <s v="45 AVENUE D ANGERS"/>
    <s v="-"/>
    <s v="-"/>
    <x v="375"/>
    <s v="CHOLET"/>
    <s v="-0.838373"/>
    <s v="47.076435"/>
    <s v="Centre ville"/>
    <d v="2025-01-01T00:00:00"/>
    <d v="2025-01-01T00:00:00"/>
    <s v="Franchisee"/>
    <s v="PA-HOLDING"/>
    <s v="Jean-Luc RABAULT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6991"/>
    <s v="IBIS STYLES NICE VIEUX PORT"/>
    <x v="2"/>
    <s v="01/01/1972"/>
    <n v="114"/>
    <x v="1"/>
    <s v="8 RUE EMMANUEL PHILIBERT"/>
    <s v="-"/>
    <s v="-"/>
    <x v="190"/>
    <s v="NICE"/>
    <s v="7.28317"/>
    <s v="43.70031"/>
    <s v="Centre ville"/>
    <d v="2025-01-01T00:00:00"/>
    <d v="2025-01-01T00:00:00"/>
    <s v="Franchisee"/>
    <s v="DALMATA HOSPITALITY"/>
    <s v="Marion BOROT"/>
    <x v="5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005"/>
    <s v="IBIS STYLES COLMAR CENTRE"/>
    <x v="2"/>
    <s v="12/12/1986"/>
    <n v="47"/>
    <x v="4"/>
    <s v="11 BOULEVARD DU CHAMP DE MARS"/>
    <s v="-"/>
    <s v="-"/>
    <x v="52"/>
    <s v="COLMAR"/>
    <s v="7.35531"/>
    <s v="48.076917"/>
    <s v="Centre ville"/>
    <d v="2025-01-01T00:00:00"/>
    <d v="2025-01-01T00:00:00"/>
    <s v="Franchisee"/>
    <s v="CORINNE CHEVILLARD"/>
    <s v="Eric MARAI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7006"/>
    <s v="IBIS STYLES SEGRE"/>
    <x v="2"/>
    <s v="27/05/2008"/>
    <n v="48"/>
    <x v="4"/>
    <s v="RUE GUSTAVE EIFFEL"/>
    <s v="ZI D'ETRICHÉ"/>
    <s v="-"/>
    <x v="485"/>
    <s v="SEGRE"/>
    <s v="-0.86704"/>
    <s v="47.697437"/>
    <s v="Centre ville"/>
    <d v="2025-01-01T00:00:00"/>
    <d v="2025-01-01T00:00:00"/>
    <s v="Franchisee"/>
    <s v="CLAUDINE MINIER"/>
    <s v="Jean-Francois STEBLER"/>
    <x v="4"/>
    <n v="1.5"/>
    <n v="0.7"/>
    <s v="January"/>
    <n v="0.6"/>
    <s v="August"/>
    <n v="0.8"/>
    <x v="1"/>
    <x v="0"/>
    <s v="No"/>
    <s v="Yes"/>
    <n v="3"/>
    <s v="-"/>
    <n v="0"/>
    <s v="-"/>
    <n v="0.5"/>
    <n v="0.5"/>
    <n v="0.4"/>
    <n v="0.6"/>
  </r>
  <r>
    <s v="H7008"/>
    <s v="IBIS STYLES NICE AEROPORT"/>
    <x v="2"/>
    <s v="01/06/2008"/>
    <n v="91"/>
    <x v="0"/>
    <s v="127 BOULEVARD RENÉ CASSIN"/>
    <s v="-"/>
    <s v="-"/>
    <x v="190"/>
    <s v="NICE"/>
    <s v="7.216603"/>
    <s v="43.669708"/>
    <s v="Centre ville"/>
    <d v="2025-01-01T00:00:00"/>
    <d v="2025-01-01T00:00:00"/>
    <s v="Franchisee"/>
    <s v="BOISSEE FINANCES"/>
    <s v="Marion BOROT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7009"/>
    <s v="IBIS STYLES MENTON"/>
    <x v="2"/>
    <s v="01/01/2009"/>
    <n v="48"/>
    <x v="4"/>
    <s v="10 RUE VILLAREY"/>
    <s v="-"/>
    <s v="-"/>
    <x v="486"/>
    <s v="MENTON"/>
    <s v="7.501852"/>
    <s v="43.77573"/>
    <s v="Centre ville"/>
    <d v="2025-01-01T00:00:00"/>
    <d v="2025-01-01T00:00:00"/>
    <s v="Franchisee"/>
    <s v="BERNARD LENG"/>
    <s v="Marion BORO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010"/>
    <s v="IBIS STYLES PERTUIS"/>
    <x v="2"/>
    <s v="01/02/2011"/>
    <n v="64"/>
    <x v="0"/>
    <s v="ZAC ST MARTIN"/>
    <s v="355 RUE DE GOURRE D'AURE"/>
    <s v="-"/>
    <x v="427"/>
    <s v="PERTUIS"/>
    <s v="5.497323"/>
    <s v="43.675409"/>
    <s v="Centre ville"/>
    <d v="2025-01-01T00:00:00"/>
    <d v="2025-01-01T00:00:00"/>
    <s v="Franchisee"/>
    <s v="KER HOSPITALITY"/>
    <s v="Alexandra LAUNAY"/>
    <x v="0"/>
    <n v="1.5"/>
    <n v="0.7"/>
    <s v="January"/>
    <n v="0.6"/>
    <s v="August"/>
    <n v="0.8"/>
    <x v="0"/>
    <x v="0"/>
    <s v="No"/>
    <s v="Yes"/>
    <s v="-"/>
    <n v="1"/>
    <n v="0"/>
    <n v="1"/>
    <n v="0.5"/>
    <n v="0.5"/>
    <n v="0.4"/>
    <n v="0.6"/>
  </r>
  <r>
    <s v="H7011"/>
    <s v="IBIS STYLES COMPIEGNE"/>
    <x v="2"/>
    <s v="01/01/2009"/>
    <n v="58"/>
    <x v="0"/>
    <s v="PLACE JACQUES TATI"/>
    <s v="-"/>
    <s v="-"/>
    <x v="487"/>
    <s v="JAUX"/>
    <s v="2.775323"/>
    <s v="49.40189"/>
    <s v="Centre ville"/>
    <d v="2025-01-01T00:00:00"/>
    <d v="2025-01-01T00:00:00"/>
    <s v="Franchisee"/>
    <s v="FAMILLE LE ROI"/>
    <s v="Sophie CHOLLON"/>
    <x v="0"/>
    <n v="1.5"/>
    <n v="0.7"/>
    <s v="January"/>
    <n v="0.6"/>
    <s v="August"/>
    <n v="0.8"/>
    <x v="1"/>
    <x v="1"/>
    <s v="No"/>
    <s v="Yes"/>
    <n v="3"/>
    <n v="1"/>
    <n v="0"/>
    <s v="-"/>
    <n v="0.5"/>
    <n v="0.5"/>
    <n v="0.4"/>
    <n v="0.6"/>
  </r>
  <r>
    <s v="H7013"/>
    <s v="MERCURE RODEZ CATHEDRALE"/>
    <x v="1"/>
    <s v="01/10/1891"/>
    <n v="36"/>
    <x v="4"/>
    <s v="1 AVENUE VICTOR HUGO"/>
    <s v="-"/>
    <s v="-"/>
    <x v="358"/>
    <s v="RODEZ"/>
    <s v="2.572157"/>
    <s v="44.351005"/>
    <s v="Centre ville"/>
    <d v="2025-01-01T00:00:00"/>
    <d v="2025-01-01T00:00:00"/>
    <s v="Franchisee"/>
    <s v="MICHELE BOUYSSOU"/>
    <s v="Jean Francois SANCHEZ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014"/>
    <s v="MERCURE DIEPPE LA PRESIDENCE"/>
    <x v="1"/>
    <s v="13/05/1966"/>
    <n v="82"/>
    <x v="0"/>
    <s v="1 BOULEVARD DE VERDUN"/>
    <s v="-"/>
    <s v="-"/>
    <x v="98"/>
    <s v="DIEPPE"/>
    <s v="1.071092"/>
    <s v="49.925374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1"/>
    <s v="No"/>
    <s v="Yes"/>
    <n v="5"/>
    <s v="-"/>
    <n v="0"/>
    <s v="-"/>
    <n v="0.5"/>
    <n v="0.5"/>
    <n v="0.4"/>
    <n v="0.6"/>
  </r>
  <r>
    <s v="H7019"/>
    <s v="MERCURE AIX SAINTE VICTOIRE"/>
    <x v="1"/>
    <s v="01/01/1850"/>
    <n v="61"/>
    <x v="0"/>
    <s v="RD7N"/>
    <s v="-"/>
    <s v="-"/>
    <x v="488"/>
    <s v="CHATEAU NEUF LE ROUGE"/>
    <s v="5.589788"/>
    <s v="43.489342"/>
    <s v="Centre ville"/>
    <d v="2025-01-01T00:00:00"/>
    <d v="2025-01-01T00:00:00"/>
    <s v="Franchisee"/>
    <s v="GALICO"/>
    <s v="Alexandra LAUNAY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7027"/>
    <s v="IBIS STYLES SAINT DIZIER"/>
    <x v="2"/>
    <s v="01/01/1973"/>
    <n v="58"/>
    <x v="0"/>
    <s v="62 RUE GAMBETTA"/>
    <s v="-"/>
    <s v="-"/>
    <x v="268"/>
    <s v="SAINT DIZIER"/>
    <s v="4.953267"/>
    <s v="48.636593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7054"/>
    <s v="IBIS STYLES NANTES REZE"/>
    <x v="2"/>
    <s v="15/05/2011"/>
    <n v="70"/>
    <x v="0"/>
    <s v="1 RUE DE L ILE MACE"/>
    <s v="-"/>
    <s v="-"/>
    <x v="489"/>
    <s v="REZE"/>
    <s v="-1.555738"/>
    <s v="47.193016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7055"/>
    <s v="IBIS STYLES ANNEMASSE GENEVE"/>
    <x v="2"/>
    <s v="01/01/1979"/>
    <n v="67"/>
    <x v="0"/>
    <s v="4 RUE DE GENÈVE"/>
    <s v="-"/>
    <s v="-"/>
    <x v="456"/>
    <s v="AMBILLY"/>
    <s v="6.225725"/>
    <s v="46.193058"/>
    <s v="Centre ville"/>
    <d v="2025-01-01T00:00:00"/>
    <d v="2025-01-01T00:00:00"/>
    <s v="Franchisee"/>
    <s v="BANQUET D'ORX - ERMEL."/>
    <s v="Bello DIALLO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7070"/>
    <s v="IBIS BUDGET NANTES REZE AEROPORT"/>
    <x v="4"/>
    <s v="11/05/2011"/>
    <n v="70"/>
    <x v="0"/>
    <s v="1 RUE DE L'ILE MACÉ"/>
    <s v="-"/>
    <s v="-"/>
    <x v="489"/>
    <s v="REZE"/>
    <s v="-1.555357"/>
    <s v="47.194076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7076"/>
    <s v="MERCURE AMIENS CATHEDRALE"/>
    <x v="1"/>
    <s v="05/01/2009"/>
    <n v="102"/>
    <x v="1"/>
    <s v="21 23 RUE FLATTERS"/>
    <s v="-"/>
    <s v="-"/>
    <x v="490"/>
    <s v="AMIENS"/>
    <s v="2.299715"/>
    <s v="49.895899"/>
    <s v="Centre ville"/>
    <d v="2025-01-01T00:00:00"/>
    <d v="2025-01-01T00:00:00"/>
    <s v="Franchisee"/>
    <s v="ALBORAN"/>
    <s v="Muriel JACQUELINE"/>
    <x v="0"/>
    <n v="1.5"/>
    <n v="0.7"/>
    <s v="January"/>
    <n v="0.6"/>
    <s v="August"/>
    <n v="0.8"/>
    <x v="0"/>
    <x v="0"/>
    <s v="No"/>
    <s v="Yes"/>
    <n v="9"/>
    <s v="-"/>
    <n v="0"/>
    <s v="-"/>
    <n v="0.5"/>
    <n v="0.5"/>
    <n v="0.4"/>
    <n v="0.6"/>
  </r>
  <r>
    <s v="H7164"/>
    <s v="IBIS BUDGET GRENOBLE SUD SEYSSIN"/>
    <x v="4"/>
    <s v="21/07/2007"/>
    <n v="83"/>
    <x v="0"/>
    <s v="2 RUE DU DOCTEUR SCHWEITZER"/>
    <s v="-"/>
    <s v="-"/>
    <x v="491"/>
    <s v="SEYSSINS"/>
    <s v="5.697734"/>
    <s v="45.158641"/>
    <s v="Centre ville"/>
    <d v="2025-01-01T00:00:00"/>
    <d v="2025-01-01T00:00:00"/>
    <s v="Franchisee"/>
    <s v="CASTELLET HOSPITALITY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08"/>
    <s v="IBIS STYLES BORDEAUX ST MEDARD"/>
    <x v="2"/>
    <s v="01/06/1990"/>
    <n v="58"/>
    <x v="0"/>
    <s v="1 AVENUE DE LA BOETIE"/>
    <s v="-"/>
    <s v="-"/>
    <x v="492"/>
    <s v="BORDEAUX"/>
    <s v="-0.713199"/>
    <s v="44.895069"/>
    <s v="Centre ville"/>
    <d v="2025-01-01T00:00:00"/>
    <d v="2025-01-01T00:00:00"/>
    <s v="Franchisee"/>
    <s v="FAMILLE FOUSSE"/>
    <s v="Jerome LANTERNI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7209"/>
    <s v="IBIS STYLES CALAIS CENTRE"/>
    <x v="2"/>
    <s v="01/02/2012"/>
    <n v="92"/>
    <x v="0"/>
    <s v="46 RUE ROYALE"/>
    <s v="-"/>
    <s v="-"/>
    <x v="131"/>
    <s v="CALAIS"/>
    <s v="1.849369"/>
    <s v="50.957748"/>
    <s v="Centre ville"/>
    <d v="2025-01-01T00:00:00"/>
    <d v="2025-01-01T00:00:00"/>
    <s v="Franchisee"/>
    <s v="MIGUEL TOULEMONDE"/>
    <s v="Muriel JACQUELIN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7221"/>
    <s v="IBIS BUDGET CARCASSONNE AEROPORT"/>
    <x v="4"/>
    <s v="04/09/2008"/>
    <n v="74"/>
    <x v="0"/>
    <s v="ZAE LA FERRAUDIÈRE"/>
    <s v="RUE ALESSANDRO VOLTA"/>
    <s v="-"/>
    <x v="95"/>
    <s v="CARCASSONNE"/>
    <s v="2.310101"/>
    <s v="43.204488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25"/>
    <s v="IBIS BUDGET MANOSQUE CADARACHE"/>
    <x v="4"/>
    <s v="01/01/2013"/>
    <n v="62"/>
    <x v="0"/>
    <s v="PEAGE A51"/>
    <s v="LES GRANDES TERRES"/>
    <s v="-"/>
    <x v="436"/>
    <s v="MANOSQUE"/>
    <s v="5.814814"/>
    <s v="43.807853"/>
    <s v="Centre ville"/>
    <d v="2025-01-01T00:00:00"/>
    <d v="2025-01-01T00:00:00"/>
    <s v="Franchisee"/>
    <s v="KER HOSPITALITY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36"/>
    <s v="MERCURE LYON CENTRE BROTTEAUX"/>
    <x v="1"/>
    <s v="31/12/1911"/>
    <n v="59"/>
    <x v="0"/>
    <s v="112 - 114 BOULEVARD DES BELGES"/>
    <s v="-"/>
    <s v="-"/>
    <x v="493"/>
    <s v="LYON"/>
    <s v="4.858708"/>
    <s v="45.768288"/>
    <s v="Centre ville"/>
    <d v="2025-01-01T00:00:00"/>
    <d v="2025-01-01T00:00:00"/>
    <s v="Franchisee"/>
    <s v="KER HOSPITALITY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38"/>
    <s v="IBIS LILLE LOMME CENTRE"/>
    <x v="0"/>
    <s v="01/01/1990"/>
    <n v="64"/>
    <x v="0"/>
    <s v="576 AVENUE DE DUNKERQUE"/>
    <s v="-"/>
    <s v="-"/>
    <x v="494"/>
    <s v="LOMME"/>
    <s v="3.009329"/>
    <s v="50.646415"/>
    <s v="Centre ville"/>
    <d v="2025-01-01T00:00:00"/>
    <d v="2025-01-01T00:00:00"/>
    <s v="Franchisee"/>
    <s v="SOMNOO"/>
    <s v="Muriel JACQUELIN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7239"/>
    <s v="MERCURE THIONVILLE CENTRE"/>
    <x v="1"/>
    <s v="01/01/1989"/>
    <n v="53"/>
    <x v="0"/>
    <s v="2 RUE GEORGES DITSCH"/>
    <s v="-"/>
    <s v="-"/>
    <x v="495"/>
    <s v="THIONVILLE"/>
    <s v="6.168249"/>
    <s v="49.357222"/>
    <s v="Centre ville"/>
    <d v="2025-01-01T00:00:00"/>
    <d v="2025-01-01T00:00:00"/>
    <s v="Franchisee"/>
    <s v="KER HOSPITALITY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40"/>
    <s v="IBIS GOLFE DE SAINT TROPEZ"/>
    <x v="0"/>
    <s v="10/04/2009"/>
    <n v="83"/>
    <x v="0"/>
    <s v="RUE GAOU"/>
    <s v="-"/>
    <s v="-"/>
    <x v="496"/>
    <s v="COGOLIN"/>
    <s v="6.5383"/>
    <s v="43.248683"/>
    <s v="Centre ville"/>
    <d v="2025-01-01T00:00:00"/>
    <d v="2025-01-01T00:00:00"/>
    <s v="Franchisee"/>
    <s v="BOISSEE FINANCES"/>
    <s v="Marion BOROT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7255"/>
    <s v="IBIS BUDGET NIORT EST LA CRECHE"/>
    <x v="4"/>
    <s v="01/02/2009"/>
    <n v="61"/>
    <x v="0"/>
    <s v="2 RUE CHRISTOPHE COLOMB"/>
    <s v="RUE CHRISTOPHE COLOMB"/>
    <s v="-"/>
    <x v="497"/>
    <s v="LA CRECHE"/>
    <s v="-0.34549"/>
    <s v="46.351104"/>
    <s v="Centre ville"/>
    <d v="2025-01-01T00:00:00"/>
    <d v="2025-01-01T00:00:00"/>
    <s v="Franchisee"/>
    <s v="GROUPE KERDONIS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64"/>
    <s v="IBIS BUDGET ISTRES-TRIGANCE"/>
    <x v="4"/>
    <s v="01/01/2008"/>
    <n v="62"/>
    <x v="0"/>
    <s v="CHEMIN DE CAPEAU"/>
    <s v="ZAC DE TRIGANCE"/>
    <s v="-"/>
    <x v="498"/>
    <s v="ISTRES"/>
    <s v="4.967621"/>
    <s v="43.501868"/>
    <s v="Centre ville"/>
    <d v="2025-01-01T00:00:00"/>
    <d v="2025-01-01T00:00:00"/>
    <s v="Franchisee"/>
    <s v="SABINE BILLON-CLERC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65"/>
    <s v="IBIS BUDGET NANTERRE LA DEFENSE"/>
    <x v="4"/>
    <s v="15/03/2009"/>
    <n v="126"/>
    <x v="1"/>
    <s v="38 AVENUE GEORGES CLEMENCEAU"/>
    <s v="-"/>
    <s v="-"/>
    <x v="265"/>
    <s v="NANTERRE"/>
    <s v="2.203438"/>
    <s v="48.886838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66"/>
    <s v="IBIS BUDGET COSNE-SUR-LOIRE"/>
    <x v="4"/>
    <s v="01/02/2019"/>
    <n v="67"/>
    <x v="0"/>
    <s v="ZA DU VAL DE LOIRE"/>
    <s v="7 RUE DES MINOTIERS"/>
    <s v="-"/>
    <x v="499"/>
    <s v="COSNE SUR LOIRE"/>
    <s v="2.918394"/>
    <s v="47.382787"/>
    <s v="Centre ville"/>
    <d v="2025-01-01T00:00:00"/>
    <d v="2025-01-01T00:00:00"/>
    <s v="Franchisee"/>
    <s v="FAMILLE MORIN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68"/>
    <s v="IBIS BUDGET ANGOULEME NORD"/>
    <x v="4"/>
    <s v="27/10/2008"/>
    <n v="45"/>
    <x v="4"/>
    <s v="172 RUE DES MENEAUX"/>
    <s v="-"/>
    <s v="-"/>
    <x v="40"/>
    <s v="ANGOULEME"/>
    <s v="0.179343"/>
    <s v="45.693126"/>
    <s v="Centre ville"/>
    <d v="2025-01-01T00:00:00"/>
    <d v="2025-01-01T00:00:00"/>
    <s v="Franchisee"/>
    <s v="DENIS FAUQUE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69"/>
    <s v="IBIS BUDGET LYON L ISLE D ABEAU"/>
    <x v="4"/>
    <s v="27/10/2008"/>
    <n v="84"/>
    <x v="0"/>
    <s v="2 AVENUE ARTOIS"/>
    <s v="ZAC DE CHESNES-LA-NOIRÉE"/>
    <s v="-"/>
    <x v="500"/>
    <s v="SAINT QUENTIN FALLAVIER"/>
    <s v="5.1301"/>
    <s v="45.641288"/>
    <s v="Centre ville"/>
    <d v="2025-01-01T00:00:00"/>
    <d v="2025-01-01T00:00:00"/>
    <s v="Franchisee"/>
    <s v="CYC3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80"/>
    <s v="IBIS BUDGET RODEZ"/>
    <x v="4"/>
    <s v="07/11/2008"/>
    <n v="55"/>
    <x v="0"/>
    <s v="RUE PRAT MOULY"/>
    <s v="-"/>
    <s v="-"/>
    <x v="358"/>
    <s v="RODEZ"/>
    <s v="2.570811"/>
    <s v="44.36091"/>
    <s v="Centre ville"/>
    <d v="2025-01-01T00:00:00"/>
    <d v="2025-01-01T00:00:00"/>
    <s v="Franchisee"/>
    <s v="FAMILLE PRAT"/>
    <s v="Jean Francois SANCHEZ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7281"/>
    <s v="IBIS BUDGET ROYE"/>
    <x v="4"/>
    <s v="07/11/2008"/>
    <n v="59"/>
    <x v="0"/>
    <s v="RUE DU COLONEL SORLIN"/>
    <s v="IMPASSE DU MOULIN"/>
    <s v="ZONE COMMERCIALE INTERMARCHÉ"/>
    <x v="501"/>
    <s v="ROYE"/>
    <s v="2.772632"/>
    <s v="49.707691"/>
    <s v="Centre ville"/>
    <d v="2025-01-01T00:00:00"/>
    <d v="2025-01-01T00:00:00"/>
    <s v="Franchisee"/>
    <s v="FAMILLE GRAVIER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82"/>
    <s v="IBIS BUDGET MARSEILLE L ESTAQUE"/>
    <x v="4"/>
    <s v="29/05/2011"/>
    <n v="83"/>
    <x v="0"/>
    <s v="17 RUE DU DOCTEUR ZAMENHOF"/>
    <s v="-"/>
    <s v="-"/>
    <x v="502"/>
    <s v="MARSEILLE"/>
    <s v="5.322447"/>
    <s v="43.359198"/>
    <s v="Centre ville"/>
    <d v="2025-01-01T00:00:00"/>
    <d v="2025-01-01T00:00:00"/>
    <s v="Franchisee"/>
    <s v="FAMILLE GROS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83"/>
    <s v="IBIS BUDGET NOYON"/>
    <x v="4"/>
    <s v="30/03/2010"/>
    <n v="55"/>
    <x v="0"/>
    <s v="LIEU-DIT LA HAYE JUDA-RD 1032"/>
    <s v="ZONE COMMERCIALE DU MONT RENAUD"/>
    <s v="-"/>
    <x v="503"/>
    <s v="NOYON"/>
    <s v="2.980637"/>
    <s v="49.570347"/>
    <s v="Centre ville"/>
    <d v="2025-01-01T00:00:00"/>
    <d v="2025-01-01T00:00:00"/>
    <s v="Franchisee"/>
    <s v="FAMILLE GRAVIER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285"/>
    <s v="IBIS ETAMPES"/>
    <x v="0"/>
    <s v="23/11/2009"/>
    <n v="67"/>
    <x v="0"/>
    <s v="14 RUE DU REMPART"/>
    <s v="-"/>
    <s v="-"/>
    <x v="504"/>
    <s v="ETAMPES"/>
    <s v="2.165066"/>
    <s v="48.436063"/>
    <s v="Centre ville"/>
    <d v="2025-01-01T00:00:00"/>
    <d v="2025-01-01T00:00:00"/>
    <s v="Franchisee"/>
    <s v="FAMILLE DEWAVRIN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286"/>
    <s v="MERCURE BIARRITZ PRESIDENT"/>
    <x v="1"/>
    <s v="31/07/1970"/>
    <n v="69"/>
    <x v="0"/>
    <s v="18 PLACE GEORGES CLEMENCEAU"/>
    <s v="-"/>
    <s v="-"/>
    <x v="505"/>
    <s v="BIARRITZ"/>
    <s v="-1.559665"/>
    <s v="43.481926"/>
    <s v="Centre ville"/>
    <d v="2025-01-01T00:00:00"/>
    <d v="2025-01-01T00:00:00"/>
    <s v="Franchisee"/>
    <s v="CYC3"/>
    <s v="Jerome LANTERNIER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7287"/>
    <s v="MERCURE VITTEL"/>
    <x v="1"/>
    <s v="16/03/2009"/>
    <n v="30"/>
    <x v="4"/>
    <s v="158 AVENUE BOULOUMIE"/>
    <s v="-"/>
    <s v="-"/>
    <x v="506"/>
    <s v="VITTEL"/>
    <s v="5.942222"/>
    <s v="48.204513"/>
    <s v="Centre ville"/>
    <d v="2025-01-01T00:00:00"/>
    <d v="2025-01-01T00:00:00"/>
    <s v="Franchisee"/>
    <s v="GROUPE VIKINGS HOTELLERIE"/>
    <s v="Christophe RUQUEBOE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293"/>
    <s v="IBIS CLERMONT FD NORD RIOM"/>
    <x v="0"/>
    <s v="25/09/2013"/>
    <n v="46"/>
    <x v="4"/>
    <s v="RUE LOUIS ARMSTRONG"/>
    <s v="-"/>
    <s v="-"/>
    <x v="410"/>
    <s v="RIOM"/>
    <s v="3.137884"/>
    <s v="45.895533"/>
    <s v="Centre ville"/>
    <d v="2025-01-01T00:00:00"/>
    <d v="2025-01-01T00:00:00"/>
    <s v="Franchisee"/>
    <s v="ROEBLING CAPITAL - MERGUEB REDAOUIA"/>
    <s v="Jean-Claude FOUCHE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7296"/>
    <s v="NOVOTEL NANTES CENTRE LOIRE"/>
    <x v="3"/>
    <s v="01/01/1991"/>
    <n v="108"/>
    <x v="1"/>
    <s v="1 BD DES MARTYRS NANTAIS"/>
    <s v="ILE DE NANTES"/>
    <s v="-"/>
    <x v="507"/>
    <s v="NANTES"/>
    <s v="-1.548459"/>
    <s v="47.207001"/>
    <s v="Centre ville"/>
    <d v="2025-01-01T00:00:00"/>
    <d v="2025-01-01T00:00:00"/>
    <s v="Franchisee"/>
    <s v="FERRE HOTELS"/>
    <s v="Jean-Luc RABAULT"/>
    <x v="1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7308"/>
    <s v="IBIS STYLES PARIS 15 LECOURBE"/>
    <x v="2"/>
    <s v="01/01/1948"/>
    <n v="49"/>
    <x v="4"/>
    <s v="192 RUE DE LA CROIX NIVERT"/>
    <s v="-"/>
    <s v="-"/>
    <x v="173"/>
    <s v="PARIS"/>
    <s v="2.289451"/>
    <s v="48.838707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325"/>
    <s v="NOVOTEL LYON CONFLUENCE"/>
    <x v="3"/>
    <s v="01/03/2012"/>
    <n v="150"/>
    <x v="3"/>
    <s v="3 RUE PAUL MONTROCHET"/>
    <s v="-"/>
    <s v="-"/>
    <x v="243"/>
    <s v="LYON"/>
    <s v="4.815203"/>
    <s v="45.74102"/>
    <s v="Centre ville"/>
    <d v="2025-01-01T00:00:00"/>
    <d v="2025-01-01T00:00:00"/>
    <s v="Franchisee"/>
    <s v="CASTELLET HOSPITALITY"/>
    <s v="Katia GARNIER"/>
    <x v="0"/>
    <n v="1.5"/>
    <n v="0.7"/>
    <s v="January"/>
    <n v="0.6"/>
    <s v="August"/>
    <n v="0.8"/>
    <x v="0"/>
    <x v="0"/>
    <s v="No"/>
    <s v="Yes"/>
    <n v="6"/>
    <n v="1"/>
    <n v="0"/>
    <s v="-"/>
    <n v="0.5"/>
    <n v="0.5"/>
    <n v="0.4"/>
    <n v="0.6"/>
  </r>
  <r>
    <s v="H7327"/>
    <s v="NOVOTEL PARIS COEUR D ORLY"/>
    <x v="3"/>
    <s v="01/02/2016"/>
    <n v="163"/>
    <x v="3"/>
    <s v="19 RUE D'ORLY"/>
    <s v="-"/>
    <s v="-"/>
    <x v="237"/>
    <s v="ORLY"/>
    <s v="2.369843"/>
    <s v="48.7320045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0"/>
    <s v="No"/>
    <s v="Yes"/>
    <n v="4"/>
    <n v="1"/>
    <n v="0"/>
    <s v="-"/>
    <n v="0.5"/>
    <n v="0.5"/>
    <n v="0.4"/>
    <n v="0.6"/>
  </r>
  <r>
    <s v="H7331"/>
    <s v="IBIS STYLES BELFORT CENTRE"/>
    <x v="2"/>
    <s v="01/06/1985"/>
    <n v="51"/>
    <x v="0"/>
    <s v="RUE GASTON DEFFERRE"/>
    <s v="-"/>
    <s v="-"/>
    <x v="285"/>
    <s v="BELFORT"/>
    <s v="6.852912"/>
    <s v="47.639038"/>
    <s v="Centre ville"/>
    <d v="2025-01-01T00:00:00"/>
    <d v="2025-01-01T00:00:00"/>
    <s v="Franchisee"/>
    <s v="B.H.I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351"/>
    <s v="IBIS STYLES ASNIERES CENTRE"/>
    <x v="2"/>
    <s v="01/01/1960"/>
    <n v="60"/>
    <x v="0"/>
    <s v="10 BIS RUE DU CHATEAU"/>
    <s v="-"/>
    <s v="-"/>
    <x v="508"/>
    <s v="ASNIERES-SUR-SEINE"/>
    <s v="2.287427"/>
    <s v="48.906558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360"/>
    <s v="MERCURE LYON CENTRE PART DIEU"/>
    <x v="1"/>
    <s v="01/10/2011"/>
    <n v="108"/>
    <x v="1"/>
    <s v="50 RUE DE LA VILLETTE"/>
    <s v="-"/>
    <s v="-"/>
    <x v="101"/>
    <s v="LYON"/>
    <s v="4.861475"/>
    <s v="45.759757"/>
    <s v="Centre ville"/>
    <d v="2025-01-01T00:00:00"/>
    <d v="2025-01-01T00:00:00"/>
    <s v="Franchisee"/>
    <s v="EUROPEQUIPEMENTS"/>
    <s v="Katia GARNIER"/>
    <x v="1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7363"/>
    <s v="MERCURE CHOLET CENTRE"/>
    <x v="1"/>
    <s v="29/10/2012"/>
    <n v="68"/>
    <x v="0"/>
    <s v="81 PLACE TRAVOT"/>
    <s v="-"/>
    <s v="-"/>
    <x v="375"/>
    <s v="CHOLET"/>
    <s v="-0.880412"/>
    <s v="47.06138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7367"/>
    <s v="IBIS SENS"/>
    <x v="0"/>
    <s v="18/02/2016"/>
    <n v="68"/>
    <x v="0"/>
    <s v="2 AVENUE HENRI DELANNE"/>
    <s v="CENTRE COMMERCIAL SENS SUD"/>
    <s v="CHEMIN DES CANNETIÈRES"/>
    <x v="509"/>
    <s v="SENS"/>
    <s v="3.289144"/>
    <s v="48.174714"/>
    <s v="Centre ville"/>
    <d v="2025-01-01T00:00:00"/>
    <d v="2025-01-01T00:00:00"/>
    <s v="Franchisee"/>
    <s v="FAMILLE DEWAVRIN"/>
    <s v="Bruno COQUAZ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7368"/>
    <s v="IBIS STYLES BORDEAUX MERIADECK"/>
    <x v="2"/>
    <s v="01/01/1992"/>
    <n v="102"/>
    <x v="1"/>
    <s v="AVENUE DU GENERAL LARMINAT"/>
    <s v="54 RUE JOSEPH ABRIA"/>
    <s v="-"/>
    <x v="186"/>
    <s v="BORDEAUX"/>
    <s v="-0.59112"/>
    <s v="44.834141"/>
    <s v="Centre ville"/>
    <d v="2025-01-01T00:00:00"/>
    <d v="2025-01-01T00:00:00"/>
    <s v="Franchisee"/>
    <s v="B.H.I"/>
    <s v="Jerome LANTERNI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7369"/>
    <s v="IBIS STYLES BREST CENTRE PORT"/>
    <x v="2"/>
    <s v="01/01/2013"/>
    <n v="71"/>
    <x v="0"/>
    <s v="31 RUE JEAN MARIE LE BRIS"/>
    <s v="-"/>
    <s v="-"/>
    <x v="249"/>
    <s v="BREST"/>
    <s v="-4.4842"/>
    <s v="48.383808"/>
    <s v="Centre ville"/>
    <d v="2025-01-01T00:00:00"/>
    <d v="2025-01-01T00:00:00"/>
    <s v="Franchisee"/>
    <s v="S.I.H."/>
    <s v="-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7373"/>
    <s v="IBIS STYLES LYON PART DIEU"/>
    <x v="2"/>
    <s v="17/10/2011"/>
    <n v="99"/>
    <x v="0"/>
    <s v="54 RUE DE LA VILLETTE"/>
    <s v="-"/>
    <s v="-"/>
    <x v="101"/>
    <s v="LYON"/>
    <s v="4.86145"/>
    <s v="45.759243"/>
    <s v="Centre ville"/>
    <d v="2025-01-01T00:00:00"/>
    <d v="2025-01-01T00:00:00"/>
    <s v="Franchisee"/>
    <s v="EUROPEQUIPEMENTS"/>
    <s v="Katia GARNIER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377"/>
    <s v="IBIS SAINT GENIS POUILLY GENEVE"/>
    <x v="0"/>
    <s v="01/09/2013"/>
    <n v="81"/>
    <x v="0"/>
    <s v="95 RUE LOUIS ET AUGUSTE LUMIÈRE"/>
    <s v="TECHNOPARC DU PAYS DE GEX"/>
    <s v="-"/>
    <x v="510"/>
    <s v="SAINT GENIS POUILLY"/>
    <s v="6.026944"/>
    <s v="46.235555"/>
    <s v="Centre ville"/>
    <d v="2025-01-01T00:00:00"/>
    <d v="2025-01-01T00:00:00"/>
    <s v="Franchisee"/>
    <s v="FAMILLE DELETTRE"/>
    <s v="Bello DIALLO"/>
    <x v="0"/>
    <n v="1.5"/>
    <n v="0.7"/>
    <s v="January"/>
    <n v="0.6"/>
    <s v="August"/>
    <n v="0.8"/>
    <x v="0"/>
    <x v="0"/>
    <s v="No"/>
    <s v="Yes"/>
    <n v="2"/>
    <n v="1"/>
    <n v="0"/>
    <n v="1"/>
    <n v="0.5"/>
    <n v="0.5"/>
    <n v="0.4"/>
    <n v="0.6"/>
  </r>
  <r>
    <s v="H7378"/>
    <s v="IBIS LORIOL LE POUZIN"/>
    <x v="0"/>
    <s v="01/07/2010"/>
    <n v="41"/>
    <x v="4"/>
    <s v="155 ROUTE DE LORIOL"/>
    <s v="-"/>
    <s v="-"/>
    <x v="511"/>
    <s v="LE POUZIN"/>
    <s v="4.755519"/>
    <s v="44.756417"/>
    <s v="Centre ville"/>
    <d v="2025-01-01T00:00:00"/>
    <d v="2025-01-01T00:00:00"/>
    <s v="Franchisee"/>
    <s v="FAMILLE NOGIER"/>
    <s v="Bello DIALLO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7379"/>
    <s v="IBIS LES HERBIERS"/>
    <x v="0"/>
    <s v="15/05/2013"/>
    <n v="63"/>
    <x v="0"/>
    <s v="11 AVENUE DE L'ARBORESCENTE"/>
    <s v="-"/>
    <s v="-"/>
    <x v="512"/>
    <s v="LES HERBIERS"/>
    <s v="-1.03417"/>
    <s v="46.88944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383"/>
    <s v="NOVOTEL RENNES SPA CENTRE GARE"/>
    <x v="3"/>
    <s v="16/05/2011"/>
    <n v="103"/>
    <x v="1"/>
    <s v="22 AVENUE JANVIER"/>
    <s v="-"/>
    <s v="-"/>
    <x v="136"/>
    <s v="RENNES"/>
    <s v="-1.672943"/>
    <s v="48.105781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0"/>
    <x v="0"/>
    <s v="No"/>
    <s v="Yes"/>
    <n v="5"/>
    <n v="1"/>
    <n v="1"/>
    <n v="1"/>
    <n v="0.5"/>
    <n v="0.5"/>
    <n v="0.4"/>
    <n v="0.6"/>
  </r>
  <r>
    <s v="H7385"/>
    <s v="NOVOTEL BORDEAUX GARE"/>
    <x v="3"/>
    <s v="01/01/1991"/>
    <n v="99"/>
    <x v="0"/>
    <s v="28-30 RUE TAUZIA"/>
    <s v="-"/>
    <s v="-"/>
    <x v="267"/>
    <s v="BORDEAUX"/>
    <s v="-0.559565"/>
    <s v="44.829845"/>
    <s v="Centre ville"/>
    <d v="2025-01-01T00:00:00"/>
    <d v="2025-01-01T00:00:00"/>
    <s v="Franchisee"/>
    <s v="FERRE HOTELS"/>
    <s v="Jerome LANTERNIER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7386"/>
    <s v="MERCURE CHARTRES CATHEDRALE"/>
    <x v="1"/>
    <s v="18/01/2010"/>
    <n v="66"/>
    <x v="0"/>
    <s v="3 RUE DU GENERAL KOENIG"/>
    <s v="-"/>
    <s v="-"/>
    <x v="50"/>
    <s v="CHARTRES"/>
    <s v="1.483168"/>
    <s v="48.445133"/>
    <s v="Centre ville"/>
    <d v="2025-01-01T00:00:00"/>
    <d v="2025-01-01T00:00:00"/>
    <s v="Franchisee"/>
    <s v="JALLERAT-MAUGER"/>
    <s v="Thomas COSTES"/>
    <x v="0"/>
    <n v="1.5"/>
    <n v="0.7"/>
    <s v="January"/>
    <n v="0.6"/>
    <s v="August"/>
    <n v="0.8"/>
    <x v="1"/>
    <x v="1"/>
    <s v="No"/>
    <s v="Yes"/>
    <n v="4"/>
    <n v="1"/>
    <n v="0"/>
    <s v="-"/>
    <n v="0.5"/>
    <n v="0.5"/>
    <n v="0.4"/>
    <n v="0.6"/>
  </r>
  <r>
    <s v="H7391"/>
    <s v="IBIS LYON EST CHAPONNAY"/>
    <x v="0"/>
    <s v="01/09/2012"/>
    <n v="69"/>
    <x v="0"/>
    <s v="125 RUE DES FRERES VOISIN"/>
    <s v="ZAC DU CHAPOTIN"/>
    <s v="-"/>
    <x v="414"/>
    <s v="LYON"/>
    <s v="4.919419"/>
    <s v="45.647833"/>
    <s v="Centre ville"/>
    <d v="2025-01-01T00:00:00"/>
    <d v="2025-01-01T00:00:00"/>
    <s v="Franchisee"/>
    <s v="C.F.H"/>
    <s v="Katia GARNIER"/>
    <x v="0"/>
    <n v="1.5"/>
    <n v="0.7"/>
    <s v="January"/>
    <n v="0.6"/>
    <s v="August"/>
    <n v="0.8"/>
    <x v="0"/>
    <x v="0"/>
    <s v="No"/>
    <s v="Yes"/>
    <n v="1"/>
    <n v="1"/>
    <n v="0"/>
    <s v="-"/>
    <n v="0.5"/>
    <n v="0.5"/>
    <n v="0.4"/>
    <n v="0.6"/>
  </r>
  <r>
    <s v="H7392"/>
    <s v="IBIS NIORT EST MENDES FRANCE"/>
    <x v="0"/>
    <s v="01/06/2014"/>
    <n v="65"/>
    <x v="0"/>
    <s v="1 RUE JEAN BAPTISTE COLBERT"/>
    <s v="-"/>
    <s v="-"/>
    <x v="241"/>
    <s v="NIORT"/>
    <s v="-0.40563"/>
    <s v="46.33739"/>
    <s v="Centre ville"/>
    <d v="2025-01-01T00:00:00"/>
    <d v="2025-01-01T00:00:00"/>
    <s v="Franchisee"/>
    <s v="FERRE HOTELS"/>
    <s v="Dominique CHEVANCE"/>
    <x v="0"/>
    <n v="1.5"/>
    <n v="0.7"/>
    <s v="January"/>
    <n v="0.6"/>
    <s v="August"/>
    <n v="0.8"/>
    <x v="0"/>
    <x v="1"/>
    <s v="No"/>
    <s v="Yes"/>
    <n v="3"/>
    <n v="1"/>
    <n v="0"/>
    <n v="1"/>
    <n v="0.5"/>
    <n v="0.5"/>
    <n v="0.4"/>
    <n v="0.6"/>
  </r>
  <r>
    <s v="H7402"/>
    <s v="IBIS PARIS OPERA LA FAYETTE"/>
    <x v="0"/>
    <s v="01/01/1976"/>
    <n v="67"/>
    <x v="0"/>
    <s v="19 RUE BUFFAULT"/>
    <s v="-"/>
    <s v="-"/>
    <x v="197"/>
    <s v="PARIS"/>
    <s v="2.342037"/>
    <s v="48.876001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7403"/>
    <s v="IBIS BUDGET AEROPORT LE BOURGET"/>
    <x v="4"/>
    <s v="13/12/2011"/>
    <n v="76"/>
    <x v="0"/>
    <s v="RUE ROBERT BREMOND"/>
    <s v="-"/>
    <s v="-"/>
    <x v="33"/>
    <s v="AULNAY SOUS BOIS"/>
    <s v="2.45685"/>
    <s v="48.953973"/>
    <s v="Centre ville"/>
    <d v="2025-01-01T00:00:00"/>
    <d v="2025-01-01T00:00:00"/>
    <s v="Franchisee"/>
    <s v="FERRE HOTEL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04"/>
    <s v="IBIS BUDGET MANTES LA JOLIE"/>
    <x v="4"/>
    <s v="01/05/2010"/>
    <n v="80"/>
    <x v="0"/>
    <s v="19 BOULEVARD DE SULLY"/>
    <s v="-"/>
    <s v="-"/>
    <x v="513"/>
    <s v="MANTES LA JOLIE"/>
    <s v="1.67667"/>
    <s v="48.99667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1"/>
    <x v="1"/>
    <s v="No"/>
    <s v="Yes"/>
    <s v="-"/>
    <s v="-"/>
    <n v="1"/>
    <n v="2"/>
    <n v="0.5"/>
    <n v="0.5"/>
    <n v="0.4"/>
    <n v="0.6"/>
  </r>
  <r>
    <s v="H7405"/>
    <s v="IBIS BUDGET CASTELNAUDARY"/>
    <x v="4"/>
    <s v="23/02/2009"/>
    <n v="73"/>
    <x v="0"/>
    <s v="400 AVENUE GERARD ROUVIERE"/>
    <s v="-"/>
    <s v="-"/>
    <x v="514"/>
    <s v="CASTELNAUDARY"/>
    <s v="1.9518786999"/>
    <s v="43.2911568"/>
    <s v="Centre ville"/>
    <d v="2025-01-01T00:00:00"/>
    <d v="2025-01-01T00:00:00"/>
    <s v="Franchisee"/>
    <s v="GUY SPANGHERO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08"/>
    <s v="IBIS BUDGET LORIOL - LE POUZIN"/>
    <x v="4"/>
    <s v="20/07/2010"/>
    <n v="40"/>
    <x v="4"/>
    <s v="ROUTE D104"/>
    <s v="ZONE D'ACTIVITÉ RHÔNE VALLÉE"/>
    <s v="-"/>
    <x v="511"/>
    <s v="LE POUZIN"/>
    <s v="4.755819"/>
    <s v="44.756503"/>
    <s v="Centre ville"/>
    <d v="2025-01-01T00:00:00"/>
    <d v="2025-01-01T00:00:00"/>
    <s v="Franchisee"/>
    <s v="FAMILLE NOGIER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09"/>
    <s v="IBIS BUDGET ROANNE"/>
    <x v="4"/>
    <s v="23/02/2009"/>
    <n v="64"/>
    <x v="0"/>
    <s v="60 RUE DE MATEL"/>
    <s v="-"/>
    <s v="-"/>
    <x v="515"/>
    <s v="ROANNE"/>
    <s v="4.088174"/>
    <s v="46.048924"/>
    <s v="Centre ville"/>
    <d v="2025-01-01T00:00:00"/>
    <d v="2025-01-01T00:00:00"/>
    <s v="Franchisee"/>
    <s v="SOMNOO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10"/>
    <s v="IBIS BUDGET SAINT QUENTIN"/>
    <x v="4"/>
    <s v="01/02/2011"/>
    <n v="80"/>
    <x v="0"/>
    <s v="84 RUE MICHELET"/>
    <s v="-"/>
    <s v="-"/>
    <x v="277"/>
    <s v="SAINT QUENTIN"/>
    <s v="3.294868"/>
    <s v="49.843144"/>
    <s v="Centre ville"/>
    <d v="2025-01-01T00:00:00"/>
    <d v="2025-01-01T00:00:00"/>
    <s v="Franchisee"/>
    <s v="ALBORAN"/>
    <s v="Muriel JACQUELI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412"/>
    <s v="IBIS BUDGET CHATEAU GAILLARD"/>
    <x v="4"/>
    <s v="23/02/2009"/>
    <n v="59"/>
    <x v="0"/>
    <s v="LIEU DIT &quot;LES MILLETTES&quot;"/>
    <s v="-"/>
    <s v="-"/>
    <x v="516"/>
    <s v="AMBERIEU EN BUGEY"/>
    <s v="5.313891"/>
    <s v="45.979762"/>
    <s v="Centre ville"/>
    <d v="2025-01-01T00:00:00"/>
    <d v="2025-01-01T00:00:00"/>
    <s v="Franchisee"/>
    <s v="KER HOSPITALITY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13"/>
    <s v="IBIS BUDGET LYON PART DIEU"/>
    <x v="4"/>
    <s v="11/10/2011"/>
    <n v="108"/>
    <x v="1"/>
    <s v="52 RUE DE LA VILLETTE"/>
    <s v="-"/>
    <s v="-"/>
    <x v="101"/>
    <s v="LYON"/>
    <s v="4.861476"/>
    <s v="45.759611"/>
    <s v="Centre ville"/>
    <d v="2025-01-01T00:00:00"/>
    <d v="2025-01-01T00:00:00"/>
    <s v="Franchisee"/>
    <s v="EUROPEQUIPEMENTS"/>
    <s v="Katia GARNIER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16"/>
    <s v="IBIS BUDGET ST MARTIN DE CRAU"/>
    <x v="4"/>
    <s v="01/01/2015"/>
    <n v="62"/>
    <x v="0"/>
    <s v="AVENUE MARCELLIN BERTHELOT"/>
    <s v="ZONE ECOPOLE"/>
    <s v="-"/>
    <x v="517"/>
    <s v="SAINT MARTIN DE CRAU"/>
    <s v="4.802778"/>
    <s v="43.628056"/>
    <s v="Centre ville"/>
    <d v="2025-01-01T00:00:00"/>
    <d v="2025-01-01T00:00:00"/>
    <s v="Franchisee"/>
    <s v="SERGE SERRERI"/>
    <s v="Alexandra LAUNAY"/>
    <x v="1"/>
    <n v="1.5"/>
    <n v="0.7"/>
    <s v="January"/>
    <n v="0.6"/>
    <s v="August"/>
    <n v="0.8"/>
    <x v="1"/>
    <x v="1"/>
    <s v="No"/>
    <s v="Yes"/>
    <n v="2"/>
    <n v="1"/>
    <n v="0"/>
    <s v="-"/>
    <n v="0.5"/>
    <n v="0.5"/>
    <n v="0.4"/>
    <n v="0.6"/>
  </r>
  <r>
    <s v="H7418"/>
    <s v="IBIS BUDGET PONTARLIER"/>
    <x v="4"/>
    <s v="01/01/2014"/>
    <n v="49"/>
    <x v="4"/>
    <s v="29 RUE DENIS PAPIN"/>
    <s v="-"/>
    <s v="-"/>
    <x v="467"/>
    <s v="PONTARLIER"/>
    <s v="6.335264"/>
    <s v="46.909624"/>
    <s v="Centre ville"/>
    <d v="2025-01-01T00:00:00"/>
    <d v="2025-01-01T00:00:00"/>
    <s v="Franchisee"/>
    <s v="GROUPE DESFOSSEY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19"/>
    <s v="IBIS BUDGET SENS"/>
    <x v="4"/>
    <s v="19/02/2016"/>
    <n v="49"/>
    <x v="4"/>
    <s v="2 AVENUE HENRI DELANNE"/>
    <s v="ROCADE SUD D660"/>
    <s v="CHEMIN DES CANETIÈRES"/>
    <x v="509"/>
    <s v="SENS"/>
    <s v="3.289144"/>
    <s v="48.174714"/>
    <s v="Centre ville"/>
    <d v="2025-01-01T00:00:00"/>
    <d v="2025-01-01T00:00:00"/>
    <s v="Franchisee"/>
    <s v="FAMILLE DEWAVRIN"/>
    <s v="Bruno COQUAZ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7420"/>
    <s v="IBIS BUDGET SAINT-MAXIMIN"/>
    <x v="4"/>
    <s v="08/05/2010"/>
    <n v="75"/>
    <x v="0"/>
    <s v="ZONE D'ACTIVITÉ DE LA LAOUVE"/>
    <s v="RUE DU COUDOULET"/>
    <s v="-"/>
    <x v="518"/>
    <s v="SAINT MAXIMIN LA SAINTE BAUME"/>
    <s v="5.86207"/>
    <s v="43.460541"/>
    <s v="Centre ville"/>
    <d v="2025-01-01T00:00:00"/>
    <d v="2025-01-01T00:00:00"/>
    <s v="Franchisee"/>
    <s v="THIERRY CLERC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22"/>
    <s v="IBIS STYLES RENNES ST GREGOIRE"/>
    <x v="2"/>
    <s v="01/01/2002"/>
    <n v="49"/>
    <x v="4"/>
    <s v="4 BD DE LA ROBIQUETTE"/>
    <s v="-"/>
    <s v="-"/>
    <x v="409"/>
    <s v="RENNES"/>
    <s v="-1.692856"/>
    <s v="48.133322"/>
    <s v="Centre ville"/>
    <d v="2025-01-01T00:00:00"/>
    <d v="2025-01-01T00:00:00"/>
    <s v="Franchisee"/>
    <s v="FAMILLE PROUST"/>
    <s v="Jean-Francois STEBLER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7423"/>
    <s v="IBIS STYLES SAINT MALO PORT"/>
    <x v="2"/>
    <s v="01/01/2014"/>
    <n v="71"/>
    <x v="0"/>
    <s v="6-8 QUAI DU VAL"/>
    <s v="-"/>
    <s v="-"/>
    <x v="135"/>
    <s v="SAINT MALO"/>
    <s v="-2.014209"/>
    <s v="48.639535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427"/>
    <s v="IBIS GUINGAMP- COEUR DE BRETAGNE"/>
    <x v="0"/>
    <s v="10/01/1975"/>
    <n v="49"/>
    <x v="4"/>
    <s v="6 RUE DE LA CHESNAYE"/>
    <s v="-"/>
    <s v="-"/>
    <x v="519"/>
    <s v="GUINGAMP"/>
    <s v="-3.147765"/>
    <s v="48.550939"/>
    <s v="Centre ville"/>
    <d v="2025-01-01T00:00:00"/>
    <d v="2025-01-01T00:00:00"/>
    <s v="Franchisee"/>
    <s v="GROUPE VIGILIS"/>
    <s v="Jean-Francois STEBL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7430"/>
    <s v="IBIS STYLES ST JULIEN GENEVOIS"/>
    <x v="2"/>
    <s v="01/01/2010"/>
    <n v="78"/>
    <x v="0"/>
    <s v="500 ROUTE DES ENVIGNES"/>
    <s v="-"/>
    <s v="-"/>
    <x v="226"/>
    <s v="NEYDENS"/>
    <s v="6.09576"/>
    <s v="46.12269"/>
    <s v="Centre ville"/>
    <d v="2025-01-01T00:00:00"/>
    <d v="2025-01-01T00:00:00"/>
    <s v="Franchisee"/>
    <s v="MIGROS"/>
    <s v="Bello DIALLO"/>
    <x v="0"/>
    <n v="1.5"/>
    <n v="0.7"/>
    <s v="January"/>
    <n v="0.6"/>
    <s v="August"/>
    <n v="0.8"/>
    <x v="1"/>
    <x v="1"/>
    <s v="No"/>
    <s v="Yes"/>
    <n v="6"/>
    <s v="-"/>
    <n v="0"/>
    <s v="-"/>
    <n v="0.5"/>
    <n v="0.5"/>
    <n v="0.4"/>
    <n v="0.6"/>
  </r>
  <r>
    <s v="H7467"/>
    <s v="IBIS BUDGET NIMES CENTRE GARE"/>
    <x v="4"/>
    <s v="18/07/2012"/>
    <n v="55"/>
    <x v="0"/>
    <s v="AVENUE DE LA MÉDITERRANNÉE"/>
    <s v="ACCÈS PARKING : 2 AVENUE DU GÉNÉRAL LECLERC"/>
    <s v="-"/>
    <x v="107"/>
    <s v="NIMES"/>
    <s v="4.36686"/>
    <s v="43.831849"/>
    <s v="Centre ville"/>
    <d v="2025-01-01T00:00:00"/>
    <d v="2025-01-01T00:00:00"/>
    <s v="Franchisee"/>
    <s v="FAMILLE PHILIP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74"/>
    <s v="IBIS STYLES  BRIVE OUEST"/>
    <x v="2"/>
    <s v="01/01/1992"/>
    <n v="63"/>
    <x v="0"/>
    <s v="19 AV. GÉNÉRAL PIERRE POUYADE"/>
    <s v="ZAC DU MAZAUD"/>
    <s v="-"/>
    <x v="155"/>
    <s v="BRIVE"/>
    <s v="1.474526"/>
    <s v="45.145103"/>
    <s v="Centre ville"/>
    <d v="2025-01-01T00:00:00"/>
    <d v="2025-01-01T00:00:00"/>
    <s v="Franchisee"/>
    <s v="FAMILLE BOHY"/>
    <s v="Dominique CHEVANCE"/>
    <x v="0"/>
    <n v="1.5"/>
    <n v="0.7"/>
    <s v="January"/>
    <n v="0.6"/>
    <s v="August"/>
    <n v="0.8"/>
    <x v="0"/>
    <x v="1"/>
    <s v="No"/>
    <s v="Yes"/>
    <n v="6"/>
    <s v="-"/>
    <n v="0"/>
    <s v="-"/>
    <n v="0.5"/>
    <n v="0.5"/>
    <n v="0.4"/>
    <n v="0.6"/>
  </r>
  <r>
    <s v="H7475"/>
    <s v="IBIS STYLES ST-BRIEUC GARE"/>
    <x v="2"/>
    <s v="23/05/1905"/>
    <n v="42"/>
    <x v="4"/>
    <s v="51 RUE DE LA GARE"/>
    <s v="-"/>
    <s v="-"/>
    <x v="520"/>
    <s v="SAINT BRIEUC"/>
    <s v="-2.764211"/>
    <s v="48.508385"/>
    <s v="Centre ville"/>
    <d v="2025-01-01T00:00:00"/>
    <d v="2025-01-01T00:00:00"/>
    <s v="Franchisee"/>
    <s v="JEAN-CLAUDE HELLARD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476"/>
    <s v="IBIS STYLES TOULOUSE"/>
    <x v="2"/>
    <s v="01/05/2011"/>
    <n v="92"/>
    <x v="0"/>
    <s v="PARC D ACTIVITÉ DE LA PLAINE"/>
    <s v="21 AVENUE MARCEL DASSAULT"/>
    <s v="-"/>
    <x v="521"/>
    <s v="TOULOUSE"/>
    <s v="1.496384"/>
    <s v="43.577906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7494"/>
    <s v="IBIS BUDGET PERPIGNAN CENTRE"/>
    <x v="4"/>
    <s v="01/01/2009"/>
    <n v="50"/>
    <x v="0"/>
    <s v="34 AVENUE DU GÉNÉRAL LECLERC"/>
    <s v="GPS : 34 AVENUE GÉNÉRAL LECLERC"/>
    <s v="-"/>
    <x v="206"/>
    <s v="PERPIGNAN"/>
    <s v="2.890038"/>
    <s v="42.701603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496"/>
    <s v="IBIS STYLES TROYES CENTRE"/>
    <x v="2"/>
    <s v="15/09/2010"/>
    <n v="77"/>
    <x v="0"/>
    <s v="RUE CAMILLE CLAUDEL"/>
    <s v="-"/>
    <s v="-"/>
    <x v="371"/>
    <s v="TROYES"/>
    <s v="4.080933"/>
    <s v="48.292896"/>
    <s v="Centre ville"/>
    <d v="2025-01-01T00:00:00"/>
    <d v="2025-01-01T00:00:00"/>
    <s v="Franchisee"/>
    <s v="CLR HOTELS"/>
    <s v="Eric MARAIS"/>
    <x v="0"/>
    <n v="1.5"/>
    <n v="0.7"/>
    <s v="January"/>
    <n v="0.6"/>
    <s v="August"/>
    <n v="0.8"/>
    <x v="0"/>
    <x v="1"/>
    <s v="No"/>
    <s v="Yes"/>
    <n v="3"/>
    <n v="1"/>
    <n v="0"/>
    <s v="-"/>
    <n v="0.5"/>
    <n v="0.5"/>
    <n v="0.4"/>
    <n v="0.6"/>
  </r>
  <r>
    <s v="H7508"/>
    <s v="IBIS BUDGET BORDEAUX AEROPORT"/>
    <x v="4"/>
    <s v="19/05/2009"/>
    <n v="117"/>
    <x v="1"/>
    <s v="2 AVENUE CHARLES LINDBERGH"/>
    <s v="-"/>
    <s v="-"/>
    <x v="44"/>
    <s v="MERIGNAC"/>
    <s v="-0.691628"/>
    <s v="44.835208"/>
    <s v="Centre ville"/>
    <d v="2025-01-01T00:00:00"/>
    <d v="2025-01-01T00:00:00"/>
    <s v="Managed"/>
    <s v="MARC GAULIN"/>
    <s v="Olivier BRISSARD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571"/>
    <s v="NOVOTEL AVIGNON CENTRE"/>
    <x v="3"/>
    <s v="01/07/2011"/>
    <n v="130"/>
    <x v="1"/>
    <s v="20 BOULEVARD SAINT ROCH"/>
    <s v="-"/>
    <s v="-"/>
    <x v="42"/>
    <s v="AVIGNON"/>
    <s v="4.802439"/>
    <s v="43.942698"/>
    <s v="Centre ville"/>
    <d v="2025-01-01T00:00:00"/>
    <d v="2025-01-01T00:00:00"/>
    <s v="Franchisee"/>
    <s v="FACOPA - CATHERINE PANATTONI"/>
    <s v="Jean-Claude FOUCHET"/>
    <x v="0"/>
    <n v="1.5"/>
    <n v="0.7"/>
    <s v="January"/>
    <n v="0.6"/>
    <s v="August"/>
    <n v="0.8"/>
    <x v="0"/>
    <x v="0"/>
    <s v="No"/>
    <s v="Yes"/>
    <n v="12"/>
    <n v="2"/>
    <n v="1"/>
    <n v="1"/>
    <n v="0.5"/>
    <n v="0.5"/>
    <n v="0.4"/>
    <n v="0.6"/>
  </r>
  <r>
    <s v="H7572"/>
    <s v="IBIS STYLES BEAUNE CENTRE"/>
    <x v="2"/>
    <s v="08/08/2012"/>
    <n v="69"/>
    <x v="0"/>
    <s v="7 BOULEVARD PERPREUIL"/>
    <s v="-"/>
    <s v="-"/>
    <x v="192"/>
    <s v="BEAUNE"/>
    <s v="4.840178"/>
    <s v="47.021299"/>
    <s v="Centre ville"/>
    <d v="2025-01-01T00:00:00"/>
    <d v="2025-01-01T00:00:00"/>
    <s v="Franchisee"/>
    <s v="GROUPE DESFOSSEY"/>
    <s v="Eric MARAI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573"/>
    <s v="IBIS STYLES PARIS PTE ORLEANS"/>
    <x v="2"/>
    <s v="01/07/2012"/>
    <n v="115"/>
    <x v="1"/>
    <s v="41 AVENUE ARISTIDE BRIAND"/>
    <s v="-"/>
    <s v="-"/>
    <x v="22"/>
    <s v="MONTROUGE"/>
    <s v="2.325682"/>
    <s v="48.818858"/>
    <s v="Centre ville"/>
    <d v="2025-01-01T00:00:00"/>
    <d v="2025-01-01T00:00:00"/>
    <s v="Franchisee"/>
    <s v="BOISSEE FINANCES"/>
    <s v="Pierre LAGRANG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7574"/>
    <s v="IBIS STYLES NIMES GARE CENTRE"/>
    <x v="2"/>
    <s v="29/06/2012"/>
    <n v="78"/>
    <x v="0"/>
    <s v="19 ALLÉE BOISSY D'ANGLAS"/>
    <s v="ACCÈS PARKING : 2 AVENUE DU GÉNÉRAL LECLERC"/>
    <s v="-"/>
    <x v="107"/>
    <s v="NIMES"/>
    <s v="4.366893"/>
    <s v="43.831688"/>
    <s v="Centre ville"/>
    <d v="2025-01-01T00:00:00"/>
    <d v="2025-01-01T00:00:00"/>
    <s v="Franchisee"/>
    <s v="FAMILLE PHILIP"/>
    <s v="Jean-Claude FOUCHE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847"/>
    <s v="MERCURE PARIS BASTILLE MARAIS"/>
    <x v="1"/>
    <s v="01/01/1960"/>
    <n v="52"/>
    <x v="0"/>
    <s v="53 RUE RICHARD LENOIR"/>
    <s v="-"/>
    <s v="-"/>
    <x v="251"/>
    <s v="PARIS"/>
    <s v="2.380612"/>
    <s v="48.857251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848"/>
    <s v="IBIS ISSY LES MOULINEAUX"/>
    <x v="0"/>
    <s v="05/03/1990"/>
    <n v="164"/>
    <x v="3"/>
    <s v="213 RUE JEAN JACQUES ROUSSEAU"/>
    <s v="-"/>
    <s v="-"/>
    <x v="253"/>
    <s v="ISSY LES MOULINEAUX"/>
    <s v="2.257139"/>
    <s v="48.822513"/>
    <s v="Centre ville"/>
    <d v="2025-01-01T00:00:00"/>
    <d v="2025-01-01T00:00:00"/>
    <s v="Managed"/>
    <s v="ALAIN LEFEVRE"/>
    <s v="Stephanie BAUME"/>
    <x v="1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7864"/>
    <s v="IBIS STYLES CHINON"/>
    <x v="2"/>
    <s v="01/05/1988"/>
    <n v="55"/>
    <x v="0"/>
    <s v="11 RUE DE LA DIGUE SAINT JACQUES"/>
    <s v="-"/>
    <s v="-"/>
    <x v="522"/>
    <s v="CHINON"/>
    <s v="0.2342"/>
    <s v="47.160828"/>
    <s v="Centre ville"/>
    <d v="2025-01-01T00:00:00"/>
    <d v="2025-01-01T00:00:00"/>
    <s v="Franchisee"/>
    <s v="GROUPE KERDONIS"/>
    <s v="Bruno COQUAZ"/>
    <x v="0"/>
    <n v="1.5"/>
    <n v="0.7"/>
    <s v="January"/>
    <n v="0.6"/>
    <s v="August"/>
    <n v="0.8"/>
    <x v="0"/>
    <x v="0"/>
    <s v="No"/>
    <s v="Yes"/>
    <n v="2"/>
    <s v="-"/>
    <n v="0"/>
    <n v="1"/>
    <n v="0.5"/>
    <n v="0.5"/>
    <n v="0.4"/>
    <n v="0.6"/>
  </r>
  <r>
    <s v="H7927"/>
    <s v="IBIS BUDGET LYON SAINT EXUPERY"/>
    <x v="4"/>
    <s v="15/01/2013"/>
    <n v="141"/>
    <x v="1"/>
    <s v="60 RUE DU ROYAUME UNI"/>
    <s v="ESPACE CARGO PORT"/>
    <s v="-"/>
    <x v="523"/>
    <s v="LYON"/>
    <s v="5.07167"/>
    <s v="45.71379"/>
    <s v="Centre ville"/>
    <d v="2025-01-01T00:00:00"/>
    <d v="2025-01-01T00:00:00"/>
    <s v="Managed"/>
    <s v="EUROPEQUIPEMENTS"/>
    <s v="Olivier BRISSARD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941"/>
    <s v="IBIS STYLES MONTMARTRE NORD"/>
    <x v="2"/>
    <s v="01/01/1949"/>
    <n v="45"/>
    <x v="4"/>
    <s v="77 RUE DU RUISSEAU"/>
    <s v="-"/>
    <s v="-"/>
    <x v="21"/>
    <s v="PARIS"/>
    <s v="2.340948"/>
    <s v="48.895103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950"/>
    <s v="IBIS BUDGET MONTAUBAN CHAUMES"/>
    <x v="4"/>
    <s v="28/05/2011"/>
    <n v="41"/>
    <x v="4"/>
    <s v="50 ROUTE DE SAINT MARTIAL"/>
    <s v="SORTIE 62 LES CHAUMES/MONCLAR"/>
    <s v="-"/>
    <x v="289"/>
    <s v="MONTAUBAN"/>
    <s v="1.38402"/>
    <s v="44.005557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951"/>
    <s v="MERCURE LILLE ROUBAIX GD HOTEL"/>
    <x v="1"/>
    <s v="01/01/1900"/>
    <n v="88"/>
    <x v="0"/>
    <s v="22 AVENUE JEAN LEBAS"/>
    <s v="-"/>
    <s v="-"/>
    <x v="524"/>
    <s v="ROUBAIX"/>
    <s v="3.170813"/>
    <s v="50.692593"/>
    <s v="Centre ville"/>
    <d v="2025-01-01T00:00:00"/>
    <d v="2025-01-01T00:00:00"/>
    <s v="Franchisee"/>
    <s v="CLAIRE ZODO"/>
    <s v="Muriel JACQUELINE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7952"/>
    <s v="IBIS STYLES CADET LAFAYETTE"/>
    <x v="2"/>
    <s v="01/07/1984"/>
    <n v="44"/>
    <x v="4"/>
    <s v="11 BIS RUE PIERRE SEMARD"/>
    <s v="-"/>
    <s v="-"/>
    <x v="197"/>
    <s v="PARIS"/>
    <s v="2.347433"/>
    <s v="48.878063"/>
    <s v="Centre ville"/>
    <d v="2025-01-01T00:00:00"/>
    <d v="2025-01-01T00:00:00"/>
    <s v="Franchisee"/>
    <s v="BRAHIM OUCHELH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953"/>
    <s v="IBIS STYLES GRENOBLE CTRE GARE"/>
    <x v="2"/>
    <s v="15/12/1986"/>
    <n v="54"/>
    <x v="0"/>
    <s v="25 AVENUE FELIX VIALLET"/>
    <s v="-"/>
    <s v="-"/>
    <x v="99"/>
    <s v="GRENOBLE"/>
    <s v="5.719825"/>
    <s v="45.191013"/>
    <s v="Centre ville"/>
    <d v="2025-01-01T00:00:00"/>
    <d v="2025-01-01T00:00:00"/>
    <s v="Franchisee"/>
    <s v="JULIE CERCLERON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7972"/>
    <s v="IBIS STYLES MELUN"/>
    <x v="2"/>
    <s v="01/01/1993"/>
    <n v="54"/>
    <x v="0"/>
    <s v="6 RUE DU PERRE"/>
    <s v="CENTRE D ACTIVITES ST NICOLAS"/>
    <s v="-"/>
    <x v="525"/>
    <s v="RUBELLES"/>
    <s v="2.671467"/>
    <s v="48.552357"/>
    <s v="Centre ville"/>
    <d v="2025-01-01T00:00:00"/>
    <d v="2025-01-01T00:00:00"/>
    <s v="Franchisee"/>
    <s v="H.S.I"/>
    <s v="Thomas COSTES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7973"/>
    <s v="IBIS STYLES ANTIBES"/>
    <x v="2"/>
    <s v="01/07/1992"/>
    <n v="90"/>
    <x v="0"/>
    <s v="2067 CHEMIN DE SAINT CLAUDE"/>
    <s v="CENTRE D'AFFAIRES NOVA ANTIPOLIS"/>
    <s v="-"/>
    <x v="526"/>
    <s v="ANTIBES"/>
    <s v="7.094269"/>
    <s v="43.600863"/>
    <s v="Centre ville"/>
    <d v="2025-01-01T00:00:00"/>
    <d v="2025-01-01T00:00:00"/>
    <s v="Franchisee"/>
    <s v="B.H.I"/>
    <s v="Marion BOROT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7974"/>
    <s v="IBIS STYLES MARSEILLE CASTELLANE"/>
    <x v="2"/>
    <s v="01/01/1958"/>
    <n v="53"/>
    <x v="0"/>
    <s v="31 RUE DU ROUET"/>
    <s v="-"/>
    <s v="-"/>
    <x v="527"/>
    <s v="MARSEILLE"/>
    <s v="5.385925"/>
    <s v="43.28406"/>
    <s v="Centre ville"/>
    <d v="2025-01-01T00:00:00"/>
    <d v="2025-01-01T00:00:00"/>
    <s v="Franchisee"/>
    <s v="DIDIER WEBRE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7975"/>
    <s v="IBIS STYLES BOURG EN BRESSE"/>
    <x v="2"/>
    <s v="01/01/1990"/>
    <n v="47"/>
    <x v="4"/>
    <s v="12 RUE PAVÉ D'AMOUR"/>
    <s v="-"/>
    <s v="-"/>
    <x v="93"/>
    <s v="BOURG EN BRESSE"/>
    <s v="5.22543"/>
    <s v="46.208681"/>
    <s v="Centre ville"/>
    <d v="2025-01-01T00:00:00"/>
    <d v="2025-01-01T00:00:00"/>
    <s v="Franchisee"/>
    <s v="FAMILLE PERRETON"/>
    <s v="Katia GARNI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7976"/>
    <s v="IBIS STYLES PARIS TOLBIAC BNF"/>
    <x v="2"/>
    <s v="01/01/1981"/>
    <n v="67"/>
    <x v="0"/>
    <s v="21 RUE DE TOLBIAC"/>
    <s v="-"/>
    <s v="-"/>
    <x v="177"/>
    <s v="PARIS"/>
    <s v="2.373995"/>
    <s v="48.829025"/>
    <s v="Centre ville"/>
    <d v="2025-01-01T00:00:00"/>
    <d v="2025-01-01T00:00:00"/>
    <s v="Franchisee"/>
    <s v="FAMILLE PHILIP"/>
    <s v="Sophie CHOLLON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8011"/>
    <s v="IBIS STYLES TOURS CENTRE"/>
    <x v="2"/>
    <s v="01/01/1987"/>
    <n v="119"/>
    <x v="1"/>
    <s v="4 PLACE DE LA LIBERTE"/>
    <s v="EX PLACE THIERS"/>
    <s v="-"/>
    <x v="259"/>
    <s v="TOURS"/>
    <s v="0.692051"/>
    <s v="47.379517"/>
    <s v="Centre ville"/>
    <d v="2025-01-01T00:00:00"/>
    <d v="2025-01-01T00:00:00"/>
    <s v="Franchisee"/>
    <s v="MY HOTELS GESTION"/>
    <s v="Bruno COQUAZ"/>
    <x v="0"/>
    <n v="1.5"/>
    <n v="0.7"/>
    <s v="January"/>
    <n v="0.6"/>
    <s v="August"/>
    <n v="0.8"/>
    <x v="0"/>
    <x v="0"/>
    <s v="No"/>
    <s v="Yes"/>
    <n v="10"/>
    <n v="1"/>
    <n v="0"/>
    <s v="-"/>
    <n v="0.5"/>
    <n v="0.5"/>
    <n v="0.4"/>
    <n v="0.6"/>
  </r>
  <r>
    <s v="H8078"/>
    <s v="IBIS STYLES PARIS ALESIA"/>
    <x v="2"/>
    <s v="01/01/1930"/>
    <n v="47"/>
    <x v="4"/>
    <s v="32 RUE DES PLANTES"/>
    <s v="-"/>
    <s v="-"/>
    <x v="9"/>
    <s v="PARIS"/>
    <s v="2.323451"/>
    <s v="48.83017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123"/>
    <s v="IBIS STYLES BOURBON LANCY"/>
    <x v="2"/>
    <s v="13/05/2009"/>
    <n v="34"/>
    <x v="4"/>
    <s v="17 RUE DU BREUIL"/>
    <s v="BOURGOGNE"/>
    <s v="-"/>
    <x v="528"/>
    <s v="BOURBON LANCY"/>
    <s v="3.752113"/>
    <s v="46.622464"/>
    <s v="Centre ville"/>
    <d v="2025-01-01T00:00:00"/>
    <d v="2025-01-01T00:00:00"/>
    <s v="Franchisee"/>
    <s v="GROUPE VIKINGS HOTELLERIE"/>
    <s v="Katia GARNIER"/>
    <x v="0"/>
    <n v="1.5"/>
    <n v="0.7"/>
    <s v="January"/>
    <n v="0.6"/>
    <s v="August"/>
    <n v="0.8"/>
    <x v="1"/>
    <x v="1"/>
    <s v="No"/>
    <s v="Yes"/>
    <n v="1"/>
    <s v="-"/>
    <n v="1"/>
    <s v="-"/>
    <n v="0.5"/>
    <n v="0.5"/>
    <n v="0.4"/>
    <n v="0.6"/>
  </r>
  <r>
    <s v="H8124"/>
    <s v="IBIS STYLES HONFLEUR CENTRE"/>
    <x v="2"/>
    <s v="01/01/1974"/>
    <n v="48"/>
    <x v="4"/>
    <s v="3 QUAI DE LA TOUR"/>
    <s v="-"/>
    <s v="-"/>
    <x v="200"/>
    <s v="HONFLEUR"/>
    <s v="0.235668"/>
    <s v="49.419544"/>
    <s v="Centre ville"/>
    <d v="2025-01-01T00:00:00"/>
    <d v="2025-01-01T00:00:00"/>
    <s v="Franchisee"/>
    <s v="GROUPE VIKINGS HOTELLERIE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141"/>
    <s v="IBIS STYLES BLOIS CENTRE GARE"/>
    <x v="2"/>
    <s v="01/01/1990"/>
    <n v="52"/>
    <x v="0"/>
    <s v="14 AVENUE GAMBETTA"/>
    <s v="-"/>
    <s v="-"/>
    <x v="176"/>
    <s v="BLOIS"/>
    <s v="1.322566"/>
    <s v="47.583604"/>
    <s v="Centre ville"/>
    <d v="2025-01-01T00:00:00"/>
    <d v="2025-01-01T00:00:00"/>
    <s v="Franchisee"/>
    <s v="DAVID DONGAIS"/>
    <s v="Bruno COQUAZ"/>
    <x v="0"/>
    <n v="1.5"/>
    <n v="0.7"/>
    <s v="January"/>
    <n v="0.6"/>
    <s v="August"/>
    <n v="0.8"/>
    <x v="0"/>
    <x v="1"/>
    <s v="No"/>
    <s v="Yes"/>
    <n v="2"/>
    <n v="1"/>
    <n v="0"/>
    <s v="-"/>
    <n v="0.5"/>
    <n v="0.5"/>
    <n v="0.4"/>
    <n v="0.6"/>
  </r>
  <r>
    <s v="H8174"/>
    <s v="IBIS STYLES PERIGUEUX TRELISSAC"/>
    <x v="2"/>
    <s v="02/01/1980"/>
    <n v="60"/>
    <x v="0"/>
    <s v="RUE ANATOLE FRANCE"/>
    <s v="-"/>
    <s v="-"/>
    <x v="529"/>
    <s v="PERIGUEUX"/>
    <s v="0.774019"/>
    <s v="45.194351"/>
    <s v="Centre ville"/>
    <d v="2025-01-01T00:00:00"/>
    <d v="2025-01-01T00:00:00"/>
    <s v="Franchisee"/>
    <s v="GROUPE DERET"/>
    <s v="Dominique CHEVANCE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8187"/>
    <s v="IBIS STYLES MONTBELIARD"/>
    <x v="2"/>
    <s v="01/03/2013"/>
    <n v="69"/>
    <x v="0"/>
    <s v="21 AVENUE DES ALLIES"/>
    <s v="-"/>
    <s v="-"/>
    <x v="103"/>
    <s v="MONTBELIARD"/>
    <s v="6.800372"/>
    <s v="47.511127"/>
    <s v="Centre ville"/>
    <d v="2025-01-01T00:00:00"/>
    <d v="2025-01-01T00:00:00"/>
    <s v="Franchisee"/>
    <s v="SOMNOO"/>
    <s v="Eric MARAIS"/>
    <x v="0"/>
    <n v="1.5"/>
    <n v="0.7"/>
    <s v="January"/>
    <n v="0.6"/>
    <s v="August"/>
    <n v="0.8"/>
    <x v="0"/>
    <x v="1"/>
    <s v="No"/>
    <s v="Yes"/>
    <s v="-"/>
    <n v="1"/>
    <n v="0"/>
    <s v="-"/>
    <n v="0.5"/>
    <n v="0.5"/>
    <n v="0.4"/>
    <n v="0.6"/>
  </r>
  <r>
    <s v="H8196"/>
    <s v="IBIS ISTRES TRIGANCE"/>
    <x v="0"/>
    <s v="22/06/2011"/>
    <n v="54"/>
    <x v="0"/>
    <s v="PARC DE TRIGANCE"/>
    <s v="10 CHEMIN DE CAPEAU"/>
    <s v="-"/>
    <x v="498"/>
    <s v="ISTRES"/>
    <s v="4.967564"/>
    <s v="43.502046"/>
    <s v="Centre ville"/>
    <d v="2025-01-01T00:00:00"/>
    <d v="2025-01-01T00:00:00"/>
    <s v="Franchisee"/>
    <s v="SABINE BILLON-CLERC"/>
    <s v="Alexandra LAUNAY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8218"/>
    <s v="IBIS STYLES SAINT MALO CENTRE"/>
    <x v="2"/>
    <s v="02/01/1950"/>
    <n v="39"/>
    <x v="4"/>
    <s v="4 PLACE DU POIDS DU ROI"/>
    <s v="-"/>
    <s v="-"/>
    <x v="135"/>
    <s v="SAINT MALO"/>
    <s v="-2.024016"/>
    <s v="48.648533"/>
    <s v="Centre ville"/>
    <d v="2025-01-01T00:00:00"/>
    <d v="2025-01-01T00:00:00"/>
    <s v="Franchisee"/>
    <s v="FAMILLE BELLES"/>
    <s v="Jean-Francois STEBL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231"/>
    <s v="IBIS STYLES PARIS CDG AIRPORT"/>
    <x v="2"/>
    <s v="30/04/2015"/>
    <n v="305"/>
    <x v="2"/>
    <s v="1 BIS RUE DE LA HAYE"/>
    <s v="TREMBLAY-EN-FRANCE"/>
    <s v="ROISSYPOLE / CS 20009"/>
    <x v="530"/>
    <s v="ROISSY"/>
    <s v="2.561965"/>
    <s v="49.010575"/>
    <s v="Centre ville"/>
    <d v="2025-01-01T00:00:00"/>
    <d v="2025-01-01T00:00:00"/>
    <s v="Managed"/>
    <s v="GROUPE COVIVIO"/>
    <s v="Olivier BRISSARD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8234"/>
    <s v="IBIS STYLES BEAULIEU SUR MER"/>
    <x v="2"/>
    <s v="01/01/1960"/>
    <n v="72"/>
    <x v="0"/>
    <s v="3 BOULEVARD MARECHAL JOFFRE"/>
    <s v="-"/>
    <s v="-"/>
    <x v="531"/>
    <s v="BEAULIEU SUR MER"/>
    <s v="7.331051"/>
    <s v="43.706236"/>
    <s v="Centre ville"/>
    <d v="2025-01-01T00:00:00"/>
    <d v="2025-01-01T00:00:00"/>
    <s v="Franchisee"/>
    <s v="BERNARD BRINCAT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244"/>
    <s v="MERCURE TOULOUSE GOLF DE SEILH"/>
    <x v="1"/>
    <s v="10/10/1991"/>
    <n v="172"/>
    <x v="3"/>
    <s v="ROUTE DE GRENADE"/>
    <s v="TOULOUSE"/>
    <s v="-"/>
    <x v="532"/>
    <s v="TOULOUSE"/>
    <s v="1.357756"/>
    <s v="43.684089"/>
    <s v="Centre ville"/>
    <d v="2025-01-01T00:00:00"/>
    <d v="2025-01-01T00:00:00"/>
    <s v="Franchisee"/>
    <s v="ATYPIO"/>
    <s v="Jean Francois SANCHEZ"/>
    <x v="1"/>
    <n v="1.5"/>
    <n v="0.7"/>
    <s v="January"/>
    <n v="0.6"/>
    <s v="August"/>
    <n v="0.8"/>
    <x v="0"/>
    <x v="0"/>
    <s v="No"/>
    <s v="Yes"/>
    <n v="11"/>
    <s v="-"/>
    <n v="0"/>
    <n v="1"/>
    <n v="0.5"/>
    <n v="0.5"/>
    <n v="0.4"/>
    <n v="0.6"/>
  </r>
  <r>
    <s v="H8282"/>
    <s v="IBIS STYLES PARIS MONTPARNASSE"/>
    <x v="2"/>
    <s v="01/01/1960"/>
    <n v="52"/>
    <x v="0"/>
    <s v="22 RUE HIPPOLYTE MAINDRON"/>
    <s v="-"/>
    <s v="-"/>
    <x v="9"/>
    <s v="PARIS"/>
    <s v="2.321731"/>
    <s v="48.83168"/>
    <s v="Centre ville"/>
    <d v="2025-01-01T00:00:00"/>
    <d v="2025-01-01T00:00:00"/>
    <s v="Franchisee"/>
    <s v="YVES DANES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283"/>
    <s v="IBIS STYLES CHAUMONT CENTRE"/>
    <x v="2"/>
    <s v="01/01/2014"/>
    <n v="43"/>
    <x v="4"/>
    <s v="25 RUE TOUPOT"/>
    <s v="-"/>
    <s v="-"/>
    <x v="533"/>
    <s v="CHAUMONT"/>
    <s v="5.138812"/>
    <s v="48.11039"/>
    <s v="Centre ville"/>
    <d v="2025-01-01T00:00:00"/>
    <d v="2025-01-01T00:00:00"/>
    <s v="Franchisee"/>
    <s v="FAMILLE BAGOU"/>
    <s v="Eric MARAIS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8318"/>
    <s v="IBIS BUDGET MARNE LA VALLEE EST"/>
    <x v="4"/>
    <s v="01/01/2000"/>
    <n v="77"/>
    <x v="0"/>
    <s v="33 AVENUE ST GERMAIN DES NOYERS"/>
    <s v="-"/>
    <s v="-"/>
    <x v="534"/>
    <s v="SAINT THIBAULT DES VIGNES"/>
    <s v="2.673873"/>
    <s v="48.862081"/>
    <s v="Centre ville"/>
    <d v="2025-01-01T00:00:00"/>
    <d v="2025-01-01T00:00:00"/>
    <s v="Franchisee"/>
    <s v="H.S.I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440"/>
    <s v="IBIS STYLES FLERS GARE CENTRE"/>
    <x v="2"/>
    <s v="01/01/2013"/>
    <n v="58"/>
    <x v="0"/>
    <s v="23 RUE JACQUES DURMEYER"/>
    <s v="-"/>
    <s v="-"/>
    <x v="430"/>
    <s v="FLERS"/>
    <s v="-0.57303"/>
    <s v="48.743057"/>
    <s v="Centre ville"/>
    <d v="2025-01-01T00:00:00"/>
    <d v="2025-01-01T00:00:00"/>
    <s v="Franchisee"/>
    <s v="SAMIR PATEL"/>
    <s v="Jean-Francois STEBLER"/>
    <x v="0"/>
    <n v="1.5"/>
    <n v="0.7"/>
    <s v="January"/>
    <n v="0.6"/>
    <s v="August"/>
    <n v="0.8"/>
    <x v="0"/>
    <x v="1"/>
    <s v="No"/>
    <s v="Yes"/>
    <s v="-"/>
    <n v="1"/>
    <n v="0"/>
    <s v="-"/>
    <n v="0.5"/>
    <n v="0.5"/>
    <n v="0.4"/>
    <n v="0.6"/>
  </r>
  <r>
    <s v="H8442"/>
    <s v="IBIS BUDGET AJACCIO"/>
    <x v="4"/>
    <s v="01/01/2013"/>
    <n v="80"/>
    <x v="0"/>
    <s v="RUE DES MAGNOLIAS"/>
    <s v="LA ROCADE"/>
    <s v="-"/>
    <x v="246"/>
    <s v="AJACCIO"/>
    <s v="8.75443"/>
    <s v="41.945072"/>
    <s v="Centre ville"/>
    <d v="2025-01-01T00:00:00"/>
    <d v="2025-01-01T00:00:00"/>
    <s v="Franchisee"/>
    <s v="KALLISTE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464"/>
    <s v="IBIS STYLES NANTES GRASLIN"/>
    <x v="2"/>
    <s v="01/01/1900"/>
    <n v="40"/>
    <x v="4"/>
    <s v="5 RUE DU CHAPEAU ROUGE"/>
    <s v="-"/>
    <s v="-"/>
    <x v="172"/>
    <s v="NANTES"/>
    <s v="-1.560332"/>
    <s v="47.214968"/>
    <s v="Centre ville"/>
    <d v="2025-01-01T00:00:00"/>
    <d v="2025-01-01T00:00:00"/>
    <s v="Franchisee"/>
    <s v="SERITEL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465"/>
    <s v="IBIS STYLES PARIS PIGALLE"/>
    <x v="2"/>
    <s v="01/01/1950"/>
    <n v="49"/>
    <x v="4"/>
    <s v="3 RUE FROCHOT"/>
    <s v="-"/>
    <s v="-"/>
    <x v="197"/>
    <s v="PARIS"/>
    <s v="2.337663"/>
    <s v="48.881122"/>
    <s v="Centre ville"/>
    <d v="2025-01-01T00:00:00"/>
    <d v="2025-01-01T00:00:00"/>
    <s v="Franchisee"/>
    <s v="ACCUEIL HOTEL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466"/>
    <s v="IBIS STYLES QUIBERON CENTRE"/>
    <x v="2"/>
    <s v="01/07/2012"/>
    <n v="57"/>
    <x v="0"/>
    <s v="43 RUE DE PORT HALIGUEN"/>
    <s v="-"/>
    <s v="-"/>
    <x v="174"/>
    <s v="QUIBERON"/>
    <s v="-3.114774"/>
    <s v="47.483946"/>
    <s v="Centre ville"/>
    <d v="2025-01-01T00:00:00"/>
    <d v="2025-01-01T00:00:00"/>
    <s v="Franchisee"/>
    <s v="CLR HOTELS"/>
    <s v="Jean-Luc RABAULT"/>
    <x v="0"/>
    <n v="1.5"/>
    <n v="0.7"/>
    <s v="January"/>
    <n v="0.6"/>
    <s v="August"/>
    <n v="0.8"/>
    <x v="0"/>
    <x v="1"/>
    <s v="No"/>
    <s v="Yes"/>
    <n v="2"/>
    <n v="1"/>
    <n v="1"/>
    <n v="1"/>
    <n v="0.5"/>
    <n v="0.5"/>
    <n v="0.4"/>
    <n v="0.6"/>
  </r>
  <r>
    <s v="H8478"/>
    <s v="IBIS BUDGET GIVET"/>
    <x v="4"/>
    <s v="30/09/2013"/>
    <n v="70"/>
    <x v="0"/>
    <s v="ROUTE DE BEAURAING"/>
    <s v="-"/>
    <s v="-"/>
    <x v="535"/>
    <s v="GIVET"/>
    <s v="4.852556"/>
    <s v="50.133337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479"/>
    <s v="IBIS BUDGET VALENCIENNES PETITE"/>
    <x v="4"/>
    <s v="12/12/2011"/>
    <n v="47"/>
    <x v="4"/>
    <s v="RUE LOUIS JOSEPH GAY LUSSAC"/>
    <s v="ZAC DE PETITE FORET"/>
    <s v="-"/>
    <x v="536"/>
    <s v="VALENCIENNES"/>
    <s v="3.47245"/>
    <s v="50.37753"/>
    <s v="Centre ville"/>
    <d v="2025-01-01T00:00:00"/>
    <d v="2025-01-01T00:00:00"/>
    <s v="Franchisee"/>
    <s v="FAMILLE DEWAVRIN"/>
    <s v="Muriel JACQUELINE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8505"/>
    <s v="NOVOTEL TOULOUSE CENTRE WILSON"/>
    <x v="3"/>
    <s v="01/01/1895"/>
    <n v="134"/>
    <x v="1"/>
    <s v="15 PLACE WILSON"/>
    <s v="-"/>
    <s v="-"/>
    <x v="19"/>
    <s v="TOULOUSE"/>
    <s v="1.447107"/>
    <s v="43.605235"/>
    <s v="Centre ville"/>
    <d v="2025-01-01T00:00:00"/>
    <d v="2025-01-01T00:00:00"/>
    <s v="Franchisee"/>
    <s v="FAMILLE FARINES"/>
    <s v="Jean Francois SANCHEZ"/>
    <x v="0"/>
    <n v="1.5"/>
    <n v="0.7"/>
    <s v="January"/>
    <n v="0.6"/>
    <s v="August"/>
    <n v="0.8"/>
    <x v="0"/>
    <x v="1"/>
    <s v="No"/>
    <s v="Yes"/>
    <n v="4"/>
    <n v="1"/>
    <n v="0"/>
    <s v="-"/>
    <n v="0.5"/>
    <n v="0.5"/>
    <n v="0.4"/>
    <n v="0.6"/>
  </r>
  <r>
    <s v="H8510"/>
    <s v="IBIS BORDEAUX ST EMILION"/>
    <x v="0"/>
    <s v="01/01/1986"/>
    <n v="56"/>
    <x v="0"/>
    <s v="ROUTE DE CASTILLON"/>
    <s v="LIEU-DIT DU BOIS DE L'OR/D670"/>
    <s v="-"/>
    <x v="537"/>
    <s v="SAINT EMILION"/>
    <s v="-0.19623"/>
    <s v="44.892698"/>
    <s v="Centre ville"/>
    <d v="2025-01-01T00:00:00"/>
    <d v="2025-01-01T00:00:00"/>
    <s v="Franchisee"/>
    <s v="B.H.I"/>
    <s v="Jerome LANTERNI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8518"/>
    <s v="MERCURE LEVALLOIS PERRET"/>
    <x v="1"/>
    <s v="01/01/1950"/>
    <n v="46"/>
    <x v="4"/>
    <s v="48 RUE CHAPTAL"/>
    <s v="-"/>
    <s v="-"/>
    <x v="424"/>
    <s v="LEVALLOIS PERRET"/>
    <s v="2.282697"/>
    <s v="48.889634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8538"/>
    <s v="IBIS STYLES PARIS SAINT DENIS"/>
    <x v="2"/>
    <s v="01/01/1987"/>
    <n v="62"/>
    <x v="0"/>
    <s v="212 AVENUE DU PSDT WILSON"/>
    <s v="-"/>
    <s v="-"/>
    <x v="360"/>
    <s v="SAINT DENIS"/>
    <s v="2.358322"/>
    <s v="48.914283"/>
    <s v="Centre ville"/>
    <d v="2025-01-01T00:00:00"/>
    <d v="2025-01-01T00:00:00"/>
    <s v="Franchisee"/>
    <s v="CYC3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539"/>
    <s v="MERCURE POITIERS CENTRE"/>
    <x v="1"/>
    <s v="01/01/2012"/>
    <n v="50"/>
    <x v="0"/>
    <s v="14 RUE EDOUARD GRIMAUX"/>
    <s v="-"/>
    <s v="-"/>
    <x v="116"/>
    <s v="POITIERS"/>
    <s v="0.339759"/>
    <s v="46.583024"/>
    <s v="Centre ville"/>
    <d v="2025-01-01T00:00:00"/>
    <d v="2025-01-01T00:00:00"/>
    <s v="Franchisee"/>
    <s v="ROEBLING CAPITAL - MERGUEB REDAOUIA"/>
    <s v="Dominique CHEVANC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8575"/>
    <s v="MERCURE PARIS GARE DU NORD"/>
    <x v="1"/>
    <s v="01/01/1993"/>
    <n v="48"/>
    <x v="4"/>
    <s v="175 RUE LA FAYETTE"/>
    <s v="-"/>
    <s v="-"/>
    <x v="144"/>
    <s v="PARIS"/>
    <s v="2.35939"/>
    <s v="48.8799"/>
    <s v="Centre ville"/>
    <d v="2025-01-01T00:00:00"/>
    <d v="2025-01-01T00:00:00"/>
    <s v="Franchisee"/>
    <s v="ALBORAN"/>
    <s v="Benoit DUCHE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8576"/>
    <s v="MERCURE VALENCIENNES CENTRE"/>
    <x v="1"/>
    <s v="15/04/2012"/>
    <n v="87"/>
    <x v="0"/>
    <s v="5 RUE DU SAINT CORDON"/>
    <s v="-"/>
    <s v="-"/>
    <x v="466"/>
    <s v="VALENCIENNES"/>
    <s v="3.525477"/>
    <s v="50.356533"/>
    <s v="Centre ville"/>
    <d v="2025-01-01T00:00:00"/>
    <d v="2025-01-01T00:00:00"/>
    <s v="Franchisee"/>
    <s v="FAMILLE BROUILLARD"/>
    <s v="Muriel JACQUELIN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8643"/>
    <s v="IBIS PARIS GARE DE LYON REUILLY"/>
    <x v="0"/>
    <s v="01/01/2012"/>
    <n v="42"/>
    <x v="4"/>
    <s v="9 RUE DE REUILLY"/>
    <s v="-"/>
    <s v="-"/>
    <x v="183"/>
    <s v="PARIS"/>
    <s v="2.385443"/>
    <s v="48.849453"/>
    <s v="Centre ville"/>
    <d v="2025-01-01T00:00:00"/>
    <d v="2025-01-01T00:00:00"/>
    <s v="Franchisee"/>
    <s v="MATHIEU GAD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651"/>
    <s v="IBIS STYLES VANNES GARE CENTRE"/>
    <x v="2"/>
    <s v="01/01/1960"/>
    <n v="41"/>
    <x v="4"/>
    <s v="26 AVENUE FAVREL ET LINCY"/>
    <s v="PLACE DE LA GARE"/>
    <s v="-"/>
    <x v="114"/>
    <s v="VANNES"/>
    <s v="-2.75307"/>
    <s v="47.664708"/>
    <s v="Centre ville"/>
    <d v="2025-01-01T00:00:00"/>
    <d v="2025-01-01T00:00:00"/>
    <s v="Franchisee"/>
    <s v="FRANCKY LIZEE"/>
    <s v="Jean-Luc RABAULT"/>
    <x v="0"/>
    <n v="1.5"/>
    <n v="0.7"/>
    <s v="January"/>
    <n v="0.6"/>
    <s v="August"/>
    <n v="0.8"/>
    <x v="0"/>
    <x v="1"/>
    <s v="No"/>
    <s v="Yes"/>
    <n v="1"/>
    <s v="-"/>
    <n v="1"/>
    <s v="-"/>
    <n v="0.5"/>
    <n v="0.5"/>
    <n v="0.4"/>
    <n v="0.6"/>
  </r>
  <r>
    <s v="H8652"/>
    <s v="MERCURE BASTILLE ST ANTOINE"/>
    <x v="1"/>
    <s v="01/01/1972"/>
    <n v="34"/>
    <x v="4"/>
    <s v="64 RUE CROZATIER"/>
    <s v="-"/>
    <s v="-"/>
    <x v="183"/>
    <s v="PARIS"/>
    <s v="2.379615"/>
    <s v="48.849686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692"/>
    <s v="IBIS BUDGET CHOLET CENTRE"/>
    <x v="4"/>
    <s v="01/08/2012"/>
    <n v="66"/>
    <x v="0"/>
    <s v="27 29 RUE DES VIEUX GRENIERS"/>
    <s v="-"/>
    <s v="-"/>
    <x v="375"/>
    <s v="CHOLET"/>
    <s v="-0.87978"/>
    <s v="47.0606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699"/>
    <s v="IBIS BUDGET BELFORT CENTRE"/>
    <x v="4"/>
    <s v="16/04/2012"/>
    <n v="55"/>
    <x v="0"/>
    <s v="23 AVENUE DE LA LAURENCIE"/>
    <s v="-"/>
    <s v="-"/>
    <x v="285"/>
    <s v="BELFORT"/>
    <s v="6.873946"/>
    <s v="47.638936"/>
    <s v="Centre ville"/>
    <d v="2025-01-01T00:00:00"/>
    <d v="2025-01-01T00:00:00"/>
    <s v="Franchisee"/>
    <s v="B.H.I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700"/>
    <s v="IBIS BUDGET ROMORANTIN"/>
    <x v="4"/>
    <s v="12/05/2012"/>
    <n v="70"/>
    <x v="0"/>
    <s v="4 ALLÉE DES GRANDES BRUYÈRES"/>
    <s v="-"/>
    <s v="-"/>
    <x v="538"/>
    <s v="ROMORANTIN"/>
    <s v="1.761997"/>
    <s v="47.327639"/>
    <s v="Centre ville"/>
    <d v="2025-01-01T00:00:00"/>
    <d v="2025-01-01T00:00:00"/>
    <s v="Franchisee"/>
    <s v="GROUPE DERET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709"/>
    <s v="IBIS STYLES DAX MIRADOUR"/>
    <x v="2"/>
    <s v="01/01/2012"/>
    <n v="48"/>
    <x v="4"/>
    <s v="4 AVENUE MILLIÈS LACROIX"/>
    <s v="-"/>
    <s v="-"/>
    <x v="539"/>
    <s v="DAX"/>
    <s v="-1.056282"/>
    <s v="43.710895"/>
    <s v="Centre ville"/>
    <d v="2025-01-01T00:00:00"/>
    <d v="2025-01-01T00:00:00"/>
    <s v="Franchisee"/>
    <s v="FAMILLE ZEVACO"/>
    <s v="Jerome LANTERNIER"/>
    <x v="0"/>
    <n v="1.5"/>
    <n v="0.7"/>
    <s v="January"/>
    <n v="0.6"/>
    <s v="August"/>
    <n v="0.8"/>
    <x v="0"/>
    <x v="0"/>
    <s v="No"/>
    <s v="Yes"/>
    <n v="1"/>
    <n v="1"/>
    <n v="0"/>
    <s v="-"/>
    <n v="0.5"/>
    <n v="0.5"/>
    <n v="0.4"/>
    <n v="0.6"/>
  </r>
  <r>
    <s v="H8714"/>
    <s v="IBIS STYLES REIMS CENTRE"/>
    <x v="2"/>
    <s v="01/01/1989"/>
    <n v="67"/>
    <x v="0"/>
    <s v="21 BOULEVARD PAUL DOUMER"/>
    <s v="-"/>
    <s v="-"/>
    <x v="540"/>
    <s v="REIMS"/>
    <s v="4.02556"/>
    <s v="49.24981"/>
    <s v="Centre ville"/>
    <d v="2025-01-01T00:00:00"/>
    <d v="2025-01-01T00:00:00"/>
    <s v="Franchisee"/>
    <s v="ATALANTE"/>
    <s v="Benoit DUCH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8716"/>
    <s v="IBIS STYLES BAYONNE CENTRE"/>
    <x v="2"/>
    <s v="18/01/1790"/>
    <n v="45"/>
    <x v="4"/>
    <s v="1 PLACE DE LA REPUBLIQUE"/>
    <s v="-"/>
    <s v="-"/>
    <x v="276"/>
    <s v="BAYONNE"/>
    <s v="-1.470591"/>
    <s v="43.495349"/>
    <s v="Centre ville"/>
    <d v="2025-01-01T00:00:00"/>
    <d v="2025-01-01T00:00:00"/>
    <s v="Franchisee"/>
    <s v="FAMILLE ZEVACO"/>
    <s v="Jerome LANTERNI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8717"/>
    <s v="IBIS STYLES ROMANS VALENCE TGV"/>
    <x v="2"/>
    <s v="01/01/2012"/>
    <n v="80"/>
    <x v="0"/>
    <s v="2-4 AVENUE DE LA GARE"/>
    <s v="ALIXAN"/>
    <s v="-"/>
    <x v="541"/>
    <s v="ALIXAN"/>
    <s v="4.97649"/>
    <s v="44.9889"/>
    <s v="Centre ville"/>
    <d v="2025-01-01T00:00:00"/>
    <d v="2025-01-01T00:00:00"/>
    <s v="Franchisee"/>
    <s v="LAURENCE DONAT"/>
    <s v="Bello DIALLO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8722"/>
    <s v="IBIS STYLES ANNECY GARE CENTRE"/>
    <x v="2"/>
    <s v="01/01/1992"/>
    <n v="74"/>
    <x v="0"/>
    <s v="1 PLACE DE LA MANDALLAZ"/>
    <s v="-"/>
    <s v="-"/>
    <x v="85"/>
    <s v="ANNECY"/>
    <s v="6.114621"/>
    <s v="45.899133"/>
    <s v="Centre ville"/>
    <d v="2025-01-01T00:00:00"/>
    <d v="2025-01-01T00:00:00"/>
    <s v="Franchisee"/>
    <s v="SOHOMA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756"/>
    <s v="IBIS BUDGET SAINT DIE"/>
    <x v="4"/>
    <s v="03/09/2012"/>
    <n v="45"/>
    <x v="4"/>
    <s v="28 QUAI CARNOT"/>
    <s v="-"/>
    <s v="-"/>
    <x v="214"/>
    <s v="SAINT DIE"/>
    <s v="6.95305"/>
    <s v="48.2844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8769"/>
    <s v="IBIS STYLES ROANNE CENTRE GARE"/>
    <x v="2"/>
    <s v="01/01/1930"/>
    <n v="57"/>
    <x v="0"/>
    <s v="46 COURS DE LA REPUBLIQUE"/>
    <s v="-"/>
    <s v="-"/>
    <x v="515"/>
    <s v="ROANNE"/>
    <s v="4.064169"/>
    <s v="46.038878"/>
    <s v="Centre ville"/>
    <d v="2025-01-01T00:00:00"/>
    <d v="2025-01-01T00:00:00"/>
    <s v="Franchisee"/>
    <s v="SOMNOO"/>
    <s v="Katia GARNIER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8770"/>
    <s v="MERCURE BARBAROUX GOLF AND SPA"/>
    <x v="1"/>
    <s v="01/01/2012"/>
    <n v="64"/>
    <x v="0"/>
    <s v="GOLF DE BARBAROUX"/>
    <s v="ROUTE DE CABASSE"/>
    <s v="-"/>
    <x v="207"/>
    <s v="BRIGNOLES"/>
    <s v="6.173212"/>
    <s v="43.405819"/>
    <s v="Centre ville"/>
    <d v="2025-01-01T00:00:00"/>
    <d v="2025-01-01T00:00:00"/>
    <s v="Franchisee"/>
    <s v="BENJAMIN CATERNET"/>
    <s v="Alexandra LAUNAY"/>
    <x v="1"/>
    <n v="1.5"/>
    <n v="0.7"/>
    <s v="January"/>
    <n v="0.6"/>
    <s v="August"/>
    <n v="0.8"/>
    <x v="0"/>
    <x v="0"/>
    <s v="No"/>
    <s v="Yes"/>
    <n v="2"/>
    <n v="2"/>
    <n v="1"/>
    <n v="1"/>
    <n v="0.5"/>
    <n v="0.5"/>
    <n v="0.4"/>
    <n v="0.6"/>
  </r>
  <r>
    <s v="H8816"/>
    <s v="MERCURE PARIS 19 PHILHARMONIE"/>
    <x v="1"/>
    <s v="01/01/1993"/>
    <n v="182"/>
    <x v="3"/>
    <s v="216 AVENUE JEAN JAURES"/>
    <s v="-"/>
    <s v="-"/>
    <x v="252"/>
    <s v="PARIS"/>
    <s v="2.3940970661"/>
    <s v="48.8889580678"/>
    <s v="Centre ville"/>
    <d v="2025-01-01T00:00:00"/>
    <d v="2025-01-01T00:00:00"/>
    <s v="Franchisee"/>
    <s v="FERRE HOTELS"/>
    <s v="Sophie CHOLLON"/>
    <x v="0"/>
    <n v="1.5"/>
    <n v="0.7"/>
    <s v="January"/>
    <n v="0.6"/>
    <s v="August"/>
    <n v="0.8"/>
    <x v="1"/>
    <x v="0"/>
    <s v="No"/>
    <s v="Yes"/>
    <n v="17"/>
    <s v="-"/>
    <n v="0"/>
    <s v="-"/>
    <n v="0.5"/>
    <n v="0.5"/>
    <n v="0.4"/>
    <n v="0.6"/>
  </r>
  <r>
    <s v="H8817"/>
    <s v="MERCURE PARIS VELIZY"/>
    <x v="1"/>
    <s v="01/01/1974"/>
    <n v="182"/>
    <x v="3"/>
    <s v="22 AVENUE DE L EUROPE"/>
    <s v="-"/>
    <s v="-"/>
    <x v="416"/>
    <s v="VELIZY"/>
    <s v="2.21573"/>
    <s v="48.778812"/>
    <s v="Centre ville"/>
    <d v="2025-01-01T00:00:00"/>
    <d v="2025-01-01T00:00:00"/>
    <s v="Franchisee"/>
    <s v="FERRE HOTELS"/>
    <s v="Sophie CHOLLON"/>
    <x v="0"/>
    <n v="1.5"/>
    <n v="0.7"/>
    <s v="January"/>
    <n v="0.6"/>
    <s v="August"/>
    <n v="0.8"/>
    <x v="0"/>
    <x v="0"/>
    <s v="No"/>
    <s v="Yes"/>
    <n v="12"/>
    <n v="1"/>
    <n v="0"/>
    <n v="1"/>
    <n v="0.5"/>
    <n v="0.5"/>
    <n v="0.4"/>
    <n v="0.6"/>
  </r>
  <r>
    <s v="H8820"/>
    <s v="IBIS STYLES SAUMUR GARE CENTRE"/>
    <x v="2"/>
    <s v="01/01/1948"/>
    <n v="63"/>
    <x v="0"/>
    <s v="15 AVENUE DAVID D ANGERS"/>
    <s v="-"/>
    <s v="-"/>
    <x v="471"/>
    <s v="SAUMUR"/>
    <s v="-0.071014"/>
    <s v="47.269066"/>
    <s v="Centre ville"/>
    <d v="2025-01-01T00:00:00"/>
    <d v="2025-01-01T00:00:00"/>
    <s v="Franchisee"/>
    <s v="JULIEN REIX"/>
    <s v="Jean-Francois STEBL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8951"/>
    <s v="IBIS STYLES ST GILLES CX VIE"/>
    <x v="2"/>
    <s v="01/01/1919"/>
    <n v="69"/>
    <x v="0"/>
    <s v="84 RUE DU CALVAIRE"/>
    <s v="BP 456"/>
    <s v="-"/>
    <x v="542"/>
    <s v="SAINT GILLES CROIX DE VIE"/>
    <s v="-1.92959"/>
    <s v="46.6964"/>
    <s v="Centre ville"/>
    <d v="2025-01-01T00:00:00"/>
    <d v="2025-01-01T00:00:00"/>
    <s v="Franchisee"/>
    <s v="FAMILLE PERETTI"/>
    <s v="Jean-Luc RABAULT"/>
    <x v="0"/>
    <n v="1.5"/>
    <n v="0.7"/>
    <s v="January"/>
    <n v="0.6"/>
    <s v="August"/>
    <n v="0.8"/>
    <x v="1"/>
    <x v="1"/>
    <s v="No"/>
    <s v="Yes"/>
    <n v="2"/>
    <s v="-"/>
    <n v="0"/>
    <n v="1"/>
    <n v="0.5"/>
    <n v="0.5"/>
    <n v="0.4"/>
    <n v="0.6"/>
  </r>
  <r>
    <s v="H8957"/>
    <s v="IBIS STYLES CANNES LE CANNET"/>
    <x v="2"/>
    <s v="01/01/1991"/>
    <n v="80"/>
    <x v="0"/>
    <s v="102 BOULEVARD SADI CARNOT"/>
    <s v="-"/>
    <s v="-"/>
    <x v="543"/>
    <s v="LE CANNET"/>
    <s v="7.015658"/>
    <s v="43.56759"/>
    <s v="Centre ville"/>
    <d v="2025-01-01T00:00:00"/>
    <d v="2025-01-01T00:00:00"/>
    <s v="Franchisee"/>
    <s v="THIERRY CLERC"/>
    <s v="Marion BOROT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9012"/>
    <s v="IBIS STYLES LYON VILLEURBANNE"/>
    <x v="2"/>
    <s v="01/01/1991"/>
    <n v="79"/>
    <x v="0"/>
    <s v="130 BLVD DU 11 NOVEMBRE 1918"/>
    <s v="-"/>
    <s v="-"/>
    <x v="274"/>
    <s v="VILLEURBANNE"/>
    <s v="4.874588"/>
    <s v="45.779291"/>
    <s v="Centre ville"/>
    <d v="2025-01-01T00:00:00"/>
    <d v="2025-01-01T00:00:00"/>
    <s v="Franchisee"/>
    <s v="CLR HOTELS"/>
    <s v="Katia GARNIER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9013"/>
    <s v="NOVOTEL MARSEILLE CENTRE PRADO"/>
    <x v="3"/>
    <s v="01/01/1991"/>
    <n v="120"/>
    <x v="1"/>
    <s v="103 AVENUE DU PRADO"/>
    <s v="-"/>
    <s v="-"/>
    <x v="368"/>
    <s v="MARSEILLE"/>
    <s v="5.387006"/>
    <s v="43.280726"/>
    <s v="Centre ville"/>
    <d v="2025-01-01T00:00:00"/>
    <d v="2025-01-01T00:00:00"/>
    <s v="Franchisee"/>
    <s v="KER HOSPITALITY"/>
    <s v="Alexandra LAUNAY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9017"/>
    <s v="IBIS STYLES LE HAVRE CENTRE"/>
    <x v="2"/>
    <s v="01/01/1950"/>
    <n v="38"/>
    <x v="4"/>
    <s v="121 RUE DE PARIS"/>
    <s v="-"/>
    <s v="-"/>
    <x v="2"/>
    <s v="LE HAVRE"/>
    <s v="0.107371"/>
    <s v="49.488491"/>
    <s v="Centre ville"/>
    <d v="2025-01-01T00:00:00"/>
    <d v="2025-01-01T00:00:00"/>
    <s v="Franchisee"/>
    <s v="LES FRERES CHENG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084"/>
    <s v="IBIS STYLES LILLE MARCQ BAROEU"/>
    <x v="2"/>
    <s v="01/01/1992"/>
    <n v="95"/>
    <x v="0"/>
    <s v="340 BIS AVENUE DE LA MARNE"/>
    <s v="PARC EUROPE"/>
    <s v="-"/>
    <x v="213"/>
    <s v="MARCQ EN BAROEUL"/>
    <s v="3.117836"/>
    <s v="50.675711"/>
    <s v="Centre ville"/>
    <d v="2025-01-01T00:00:00"/>
    <d v="2025-01-01T00:00:00"/>
    <s v="Franchisee"/>
    <s v="FRANCOIS BERTELOOT"/>
    <s v="Muriel JACQUELINE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9085"/>
    <s v="IBIS STYLES STRASBOURG CENTRE"/>
    <x v="2"/>
    <s v="01/01/1900"/>
    <n v="46"/>
    <x v="4"/>
    <s v="1 QUAI DE PARIS"/>
    <s v="-"/>
    <s v="-"/>
    <x v="68"/>
    <s v="STRASBOURG"/>
    <s v="7.741434"/>
    <s v="48.584256"/>
    <s v="Centre ville"/>
    <d v="2025-01-01T00:00:00"/>
    <d v="2025-01-01T00:00:00"/>
    <s v="Franchisee"/>
    <s v="FAMILLE HAMM"/>
    <s v="Christophe RUQUEBOE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086"/>
    <s v="IBIS STYLES CAEN CENTRE GARE"/>
    <x v="2"/>
    <s v="01/01/2013"/>
    <n v="96"/>
    <x v="0"/>
    <s v="52 QUAI AMIRAL HAMELIN"/>
    <s v="-"/>
    <s v="-"/>
    <x v="45"/>
    <s v="CAEN"/>
    <s v="-0.349159"/>
    <s v="49.178982"/>
    <s v="Centre ville"/>
    <d v="2025-01-01T00:00:00"/>
    <d v="2025-01-01T00:00:00"/>
    <s v="Franchisee"/>
    <s v="FAMILLE BESNEVILLE-LOGEAIS"/>
    <s v="Ronan LE MEU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9119"/>
    <s v="IBIS STYLES POITIERS CENTRE"/>
    <x v="2"/>
    <s v="01/01/2013"/>
    <n v="56"/>
    <x v="0"/>
    <s v="7 RUE VICTOR HUGO"/>
    <s v="-"/>
    <s v="-"/>
    <x v="116"/>
    <s v="POITIERS"/>
    <s v="0.337999"/>
    <s v="46.580575"/>
    <s v="Centre ville"/>
    <d v="2025-01-01T00:00:00"/>
    <d v="2025-01-01T00:00:00"/>
    <s v="Franchisee"/>
    <s v="ROEBLING CAPITAL - MERGUEB REDAOUIA"/>
    <s v="Dominique CHEVANCE"/>
    <x v="0"/>
    <n v="1.5"/>
    <n v="0.7"/>
    <s v="January"/>
    <n v="0.6"/>
    <s v="August"/>
    <n v="0.8"/>
    <x v="1"/>
    <x v="1"/>
    <s v="No"/>
    <s v="Yes"/>
    <n v="3"/>
    <s v="-"/>
    <n v="0"/>
    <s v="-"/>
    <n v="0.5"/>
    <n v="0.5"/>
    <n v="0.4"/>
    <n v="0.6"/>
  </r>
  <r>
    <s v="H9120"/>
    <s v="MONTPELLIER CENTRE COMEDIE"/>
    <x v="2"/>
    <s v="01/03/2014"/>
    <n v="76"/>
    <x v="0"/>
    <s v="6 RUE BAUDIN"/>
    <s v="CARPARK : 17TER RUE ALFRED BRUYAS"/>
    <s v="-"/>
    <x v="92"/>
    <s v="MONTPELLIER"/>
    <s v="3.881474"/>
    <s v="43.608519"/>
    <s v="Centre ville"/>
    <d v="2025-01-01T00:00:00"/>
    <d v="2025-01-01T00:00:00"/>
    <s v="Franchisee"/>
    <s v="ARRELIA"/>
    <s v="Jean-Claude FOUCHET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9121"/>
    <s v="IBIS AURILLAC"/>
    <x v="0"/>
    <s v="01/01/1970"/>
    <n v="49"/>
    <x v="4"/>
    <s v="9 ALLEE GEORGES POMPIDOU"/>
    <s v="-"/>
    <s v="-"/>
    <x v="544"/>
    <s v="AURILLAC"/>
    <s v="2.44633"/>
    <s v="44.913364"/>
    <s v="Centre ville"/>
    <d v="2025-01-01T00:00:00"/>
    <d v="2025-01-01T00:00:00"/>
    <s v="Franchisee"/>
    <s v="JEROME LAVERGNE"/>
    <s v="Jean Francois SANCHEZ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9122"/>
    <s v="IBIS STYLES NIORT POITOU"/>
    <x v="2"/>
    <s v="01/01/1988"/>
    <n v="50"/>
    <x v="0"/>
    <s v="AIRE DU POITOU CHARENTES"/>
    <s v="AUTOROUTE A10"/>
    <s v="-"/>
    <x v="545"/>
    <s v="VOUILLE"/>
    <s v="-0.375638"/>
    <s v="46.297774"/>
    <s v="Centre ville"/>
    <d v="2025-01-01T00:00:00"/>
    <d v="2025-01-01T00:00:00"/>
    <s v="Franchisee"/>
    <s v="AREAS"/>
    <s v="Dominique CHEVANC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9134"/>
    <s v="IBIS BUDGET VALENCE SUD"/>
    <x v="4"/>
    <s v="01/01/2013"/>
    <n v="99"/>
    <x v="0"/>
    <s v="RUE CHANTECOURIOL"/>
    <s v="-"/>
    <s v="-"/>
    <x v="78"/>
    <s v="VALENCE (FR)"/>
    <s v="4.878372"/>
    <s v="44.902454"/>
    <s v="Centre ville"/>
    <d v="2025-01-01T00:00:00"/>
    <d v="2025-01-01T00:00:00"/>
    <s v="Franchisee"/>
    <s v="PASCAL DONAT"/>
    <s v="Bello DIALLO"/>
    <x v="0"/>
    <n v="1.5"/>
    <n v="0.7"/>
    <s v="January"/>
    <n v="0.6"/>
    <s v="August"/>
    <n v="0.8"/>
    <x v="1"/>
    <x v="1"/>
    <s v="No"/>
    <s v="Yes"/>
    <s v="-"/>
    <s v="-"/>
    <n v="0"/>
    <n v="1"/>
    <n v="0.5"/>
    <n v="0.5"/>
    <n v="0.4"/>
    <n v="0.6"/>
  </r>
  <r>
    <s v="H9136"/>
    <s v="IBIS BUDGET GARE DE POITIERS"/>
    <x v="4"/>
    <s v="01/01/2013"/>
    <n v="75"/>
    <x v="0"/>
    <s v="12 BOULEVARD DU PONT ACHARD"/>
    <s v="-"/>
    <s v="-"/>
    <x v="116"/>
    <s v="POITIERS"/>
    <s v="0.331852"/>
    <s v="46.578916"/>
    <s v="Centre ville"/>
    <d v="2025-01-01T00:00:00"/>
    <d v="2025-01-01T00:00:00"/>
    <s v="Franchisee"/>
    <s v="ROEBLING CAPITAL - MERGUEB REDAOUIA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143"/>
    <s v="IBIS BUDGET ARCHAMPS"/>
    <x v="4"/>
    <s v="13/05/2013"/>
    <n v="90"/>
    <x v="0"/>
    <s v="230 ROUTE DE COLLONGES"/>
    <s v="-"/>
    <s v="-"/>
    <x v="226"/>
    <s v="ARCHAMPS"/>
    <s v="6.130515"/>
    <s v="46.139804"/>
    <s v="Centre ville"/>
    <d v="2025-01-01T00:00:00"/>
    <d v="2025-01-01T00:00:00"/>
    <s v="Franchisee"/>
    <s v="KER HOSPITALITY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163"/>
    <s v="IBIS BUDGET BRIGNOLES PROVENCE"/>
    <x v="4"/>
    <s v="01/01/2013"/>
    <n v="61"/>
    <x v="0"/>
    <s v="934 CHEMIN DES ADRETS"/>
    <s v="-"/>
    <s v="-"/>
    <x v="207"/>
    <s v="BRIGNOLES"/>
    <s v="6.067287"/>
    <s v="43.421128"/>
    <s v="Centre ville"/>
    <d v="2025-01-01T00:00:00"/>
    <d v="2025-01-01T00:00:00"/>
    <s v="Franchisee"/>
    <s v="FAMILLE TREGLOSSE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171"/>
    <s v="MERCURE CLERMONT FERRAND"/>
    <x v="1"/>
    <s v="01/01/2013"/>
    <n v="125"/>
    <x v="1"/>
    <s v="1 AVENUE JULIEN"/>
    <s v="-"/>
    <s v="-"/>
    <x v="278"/>
    <s v="CLERMONT FERRAND"/>
    <s v="3.081903"/>
    <s v="45.775457"/>
    <s v="Centre ville"/>
    <d v="2025-01-01T00:00:00"/>
    <d v="2025-01-01T00:00:00"/>
    <s v="Franchisee"/>
    <s v="FAMILLE FARINES"/>
    <s v="Jean-Claude FOUCHET"/>
    <x v="0"/>
    <n v="1.5"/>
    <n v="0.7"/>
    <s v="January"/>
    <n v="0.6"/>
    <s v="August"/>
    <n v="0.8"/>
    <x v="0"/>
    <x v="1"/>
    <s v="No"/>
    <s v="Yes"/>
    <n v="3"/>
    <n v="1"/>
    <n v="0"/>
    <s v="-"/>
    <n v="0.5"/>
    <n v="0.5"/>
    <n v="0.4"/>
    <n v="0.6"/>
  </r>
  <r>
    <s v="H9172"/>
    <s v="MERCURE BASTIA"/>
    <x v="1"/>
    <s v="09/04/2018"/>
    <n v="83"/>
    <x v="0"/>
    <s v="ROUTE D'ORTALE"/>
    <s v="-"/>
    <s v="-"/>
    <x v="546"/>
    <s v="BASTIA"/>
    <s v="9.436626"/>
    <s v="42.594849"/>
    <s v="Centre ville"/>
    <d v="2025-01-01T00:00:00"/>
    <d v="2025-01-01T00:00:00"/>
    <s v="Franchisee"/>
    <s v="GROUPE MULTARI"/>
    <s v="Alexandra LAUNAY"/>
    <x v="0"/>
    <n v="1.5"/>
    <n v="0.7"/>
    <s v="January"/>
    <n v="0.6"/>
    <s v="August"/>
    <n v="0.8"/>
    <x v="0"/>
    <x v="0"/>
    <s v="No"/>
    <s v="Yes"/>
    <n v="4"/>
    <n v="1"/>
    <n v="1"/>
    <n v="1"/>
    <n v="0.5"/>
    <n v="0.5"/>
    <n v="0.4"/>
    <n v="0.6"/>
  </r>
  <r>
    <s v="H9173"/>
    <s v="IBIS BUDGET MONTCEAU LES MINES"/>
    <x v="4"/>
    <s v="01/07/2012"/>
    <n v="43"/>
    <x v="4"/>
    <s v="LA PELOUSE"/>
    <s v="37 AVENUE DES ALOUETTES"/>
    <s v="-"/>
    <x v="547"/>
    <s v="MONTCEAU LES MINES"/>
    <s v="4.359676"/>
    <s v="46.685355"/>
    <s v="Centre ville"/>
    <d v="2025-01-01T00:00:00"/>
    <d v="2025-01-01T00:00:00"/>
    <s v="Franchisee"/>
    <s v="CELINE HOUBE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174"/>
    <s v="IBIS MONTCEAU LES MINES"/>
    <x v="0"/>
    <s v="01/07/2012"/>
    <n v="38"/>
    <x v="4"/>
    <s v="LA PELOUSE"/>
    <s v="37 BIS AVENUE DES ALOUETTES"/>
    <s v="-"/>
    <x v="547"/>
    <s v="MONTCEAU LES MINES"/>
    <s v="4.359676"/>
    <s v="46.685355"/>
    <s v="Centre ville"/>
    <d v="2025-01-01T00:00:00"/>
    <d v="2025-01-01T00:00:00"/>
    <s v="Franchisee"/>
    <s v="CELINE HOUBE"/>
    <s v="Katia GARNI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9188"/>
    <s v="IBIS STYLES BETHUNE BRUAY"/>
    <x v="2"/>
    <s v="01/01/2005"/>
    <n v="70"/>
    <x v="0"/>
    <s v="PARC DE LA PORTE NORD"/>
    <s v="RUE DES FRÈRES LUMIÈRE"/>
    <s v="-"/>
    <x v="548"/>
    <s v="BRUAY LA BUISSIERE"/>
    <s v="2.581255"/>
    <s v="50.494924"/>
    <s v="Centre ville"/>
    <d v="2025-01-01T00:00:00"/>
    <d v="2025-01-01T00:00:00"/>
    <s v="Franchisee"/>
    <s v="SOMNOO"/>
    <s v="Muriel JACQUELIN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9238"/>
    <s v="IBIS SOISSONS"/>
    <x v="0"/>
    <s v="01/01/2013"/>
    <n v="53"/>
    <x v="0"/>
    <s v="RUE JACQUES BREL"/>
    <s v="ZAC DE CHEVREUX"/>
    <s v="-"/>
    <x v="549"/>
    <s v="SOISSONS"/>
    <s v="3.312222"/>
    <s v="49.365556"/>
    <s v="Centre ville"/>
    <d v="2025-01-01T00:00:00"/>
    <d v="2025-01-01T00:00:00"/>
    <s v="Franchisee"/>
    <s v="B.H.I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244"/>
    <s v="MERCURE GOLF CAP D AGDE"/>
    <x v="1"/>
    <s v="01/06/2014"/>
    <n v="40"/>
    <x v="4"/>
    <s v="1 RUE VOLVIRE DE BRASSAC"/>
    <s v="-"/>
    <s v="-"/>
    <x v="550"/>
    <s v="CAP D'AGDE"/>
    <s v="3.497202"/>
    <s v="43.283714"/>
    <s v="Centre ville"/>
    <d v="2025-01-01T00:00:00"/>
    <d v="2025-01-01T00:00:00"/>
    <s v="Franchisee"/>
    <s v="HERVE VAN TWEMBEKE"/>
    <s v="Jean-Claude FOUCHET"/>
    <x v="0"/>
    <n v="1.5"/>
    <n v="0.7"/>
    <s v="January"/>
    <n v="0.6"/>
    <s v="August"/>
    <n v="0.8"/>
    <x v="0"/>
    <x v="0"/>
    <s v="No"/>
    <s v="Yes"/>
    <n v="1"/>
    <n v="1"/>
    <n v="1"/>
    <s v="-"/>
    <n v="0.5"/>
    <n v="0.5"/>
    <n v="0.4"/>
    <n v="0.6"/>
  </r>
  <r>
    <s v="H9262"/>
    <s v="IBIS STYLES CLERMONT FERRAND"/>
    <x v="2"/>
    <s v="01/01/1989"/>
    <n v="79"/>
    <x v="0"/>
    <s v="30 RUE GEORGES BESSE"/>
    <s v="ZI LE BREZET"/>
    <s v="-"/>
    <x v="181"/>
    <s v="CLERMONT FERRAND"/>
    <s v="3.103705"/>
    <s v="45.786865"/>
    <s v="Centre ville"/>
    <d v="2025-01-01T00:00:00"/>
    <d v="2025-01-01T00:00:00"/>
    <s v="Franchisee"/>
    <s v="CELEBRITY HOTELS ET RESTAURANTS"/>
    <s v="Jean-Claude FOUCHET"/>
    <x v="0"/>
    <n v="1.5"/>
    <n v="0.7"/>
    <s v="January"/>
    <n v="0.6"/>
    <s v="August"/>
    <n v="0.8"/>
    <x v="1"/>
    <x v="0"/>
    <s v="No"/>
    <s v="Yes"/>
    <n v="2"/>
    <s v="-"/>
    <n v="0"/>
    <s v="-"/>
    <n v="0.5"/>
    <n v="0.5"/>
    <n v="0.4"/>
    <n v="0.6"/>
  </r>
  <r>
    <s v="H9292"/>
    <s v="IBIS PARIS GARE DU NORD TGV"/>
    <x v="0"/>
    <s v="01/01/2013"/>
    <n v="49"/>
    <x v="4"/>
    <s v="31 33 RUE DE SAINT QUENTIN"/>
    <s v="-"/>
    <s v="-"/>
    <x v="144"/>
    <s v="PARIS"/>
    <s v="2.355783"/>
    <s v="48.879208"/>
    <s v="Centre ville"/>
    <d v="2025-01-01T00:00:00"/>
    <d v="2025-01-01T00:00:00"/>
    <s v="Franchisee"/>
    <s v="MATHIEU GAD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293"/>
    <s v="IBIS STYLES PARIS COURBEVOIE"/>
    <x v="2"/>
    <s v="01/01/1924"/>
    <n v="66"/>
    <x v="0"/>
    <s v="99 RUE DU CAPITAINE GUYNEMER"/>
    <s v="-"/>
    <s v="-"/>
    <x v="146"/>
    <s v="COURBEVOIE"/>
    <s v="2.2471"/>
    <s v="48.8974"/>
    <s v="Centre ville"/>
    <d v="2025-01-01T00:00:00"/>
    <d v="2025-01-01T00:00:00"/>
    <s v="Franchisee"/>
    <s v="FREDERIC SEGUIN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309"/>
    <s v="IBIS LILLE CENTRE GRAND PALAIS"/>
    <x v="0"/>
    <s v="01/01/2015"/>
    <n v="91"/>
    <x v="0"/>
    <s v="1-3 RUE DES MOULINS DE GARANCE"/>
    <s v="-"/>
    <s v="-"/>
    <x v="153"/>
    <s v="LILLE"/>
    <s v="3.074509"/>
    <s v="50.633083"/>
    <s v="Centre ville"/>
    <d v="2025-01-01T00:00:00"/>
    <d v="2025-01-01T00:00:00"/>
    <s v="Franchisee"/>
    <s v="FAMILLE DUCROCQ"/>
    <s v="Muriel JACQUELI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312"/>
    <s v="IBIS BUDGET CLERMONT FD BREZET"/>
    <x v="4"/>
    <s v="01/01/2016"/>
    <n v="79"/>
    <x v="0"/>
    <s v="43 RUE PIERRE BOULANGER"/>
    <s v="Z I DU BREZET"/>
    <s v="-"/>
    <x v="181"/>
    <s v="CLERMONT FERRAND"/>
    <s v="3.139511"/>
    <s v="45.787446"/>
    <s v="Centre ville"/>
    <d v="2025-01-01T00:00:00"/>
    <d v="2025-01-01T00:00:00"/>
    <s v="Franchisee"/>
    <s v="CELEBRITY HOTELS ET RESTAURANTS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319"/>
    <s v="MERCURE MACON BORD DE SAONE"/>
    <x v="1"/>
    <s v="28/09/1967"/>
    <n v="64"/>
    <x v="0"/>
    <s v="26 RUE PIERRE DE COUBERTIN"/>
    <s v="-"/>
    <s v="-"/>
    <x v="67"/>
    <s v="MACON"/>
    <s v="4.842326"/>
    <s v="46.318093"/>
    <s v="Centre ville"/>
    <d v="2025-01-01T00:00:00"/>
    <d v="2025-01-01T00:00:00"/>
    <s v="Franchisee"/>
    <s v="JEAN MARIE FRAGNE"/>
    <s v="Katia GARNIER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9344"/>
    <s v="IBIS STYLES GIEN"/>
    <x v="2"/>
    <s v="01/01/1991"/>
    <n v="49"/>
    <x v="4"/>
    <s v="14 RUE DE LA BOSSERIE"/>
    <s v="-"/>
    <s v="-"/>
    <x v="551"/>
    <s v="GIEN"/>
    <s v="2.637671"/>
    <s v="47.706929"/>
    <s v="Centre ville"/>
    <d v="2025-01-01T00:00:00"/>
    <d v="2025-01-01T00:00:00"/>
    <s v="Franchisee"/>
    <s v="MICHEL FALCONNET"/>
    <s v="Bruno COQUAZ"/>
    <x v="0"/>
    <n v="1.5"/>
    <n v="0.7"/>
    <s v="January"/>
    <n v="0.6"/>
    <s v="August"/>
    <n v="0.8"/>
    <x v="0"/>
    <x v="1"/>
    <s v="No"/>
    <s v="Yes"/>
    <n v="2"/>
    <n v="1"/>
    <n v="0"/>
    <n v="1"/>
    <n v="0.5"/>
    <n v="0.5"/>
    <n v="0.4"/>
    <n v="0.6"/>
  </r>
  <r>
    <s v="H9419"/>
    <s v="IBIS BUDGET LES SABLES D OLONNE"/>
    <x v="4"/>
    <s v="01/04/2014"/>
    <n v="70"/>
    <x v="0"/>
    <s v="50 RUE ERIC TABARLY"/>
    <s v="OLONNE SUR MER"/>
    <s v="-"/>
    <x v="552"/>
    <s v="OLONNE SUR MER"/>
    <s v="-1.770601"/>
    <s v="46.513426"/>
    <s v="Centre ville"/>
    <d v="2025-01-01T00:00:00"/>
    <d v="2025-01-01T00:00:00"/>
    <s v="Franchisee"/>
    <s v="GROUPE DUBREUIL"/>
    <s v="Jean-Luc RABAUL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420"/>
    <s v="IBIS STYLES LILLE GRAND PLACE"/>
    <x v="2"/>
    <s v="02/02/1920"/>
    <n v="42"/>
    <x v="4"/>
    <s v="28 RUE ANATOLE FRANCE"/>
    <s v="-"/>
    <s v="-"/>
    <x v="153"/>
    <s v="LILLE"/>
    <s v="3.06679"/>
    <s v="50.63749"/>
    <s v="Centre ville"/>
    <d v="2025-01-01T00:00:00"/>
    <d v="2025-01-01T00:00:00"/>
    <s v="Franchisee"/>
    <s v="KER HOSPITALITY"/>
    <s v="Muriel JACQUELI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423"/>
    <s v="IBIS STYLES MONTELIMAR CENTRE"/>
    <x v="2"/>
    <s v="15/08/2014"/>
    <n v="70"/>
    <x v="0"/>
    <s v="1 BIS AVENUE SAINT MARTIN"/>
    <s v="-"/>
    <s v="-"/>
    <x v="415"/>
    <s v="MONTELIMAR"/>
    <s v="4.753045"/>
    <s v="44.562973"/>
    <s v="Centre ville"/>
    <d v="2025-01-01T00:00:00"/>
    <d v="2025-01-01T00:00:00"/>
    <s v="Franchisee"/>
    <s v="GROUPE BOISSET"/>
    <s v="Bello DIALLO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9431"/>
    <s v="IBIS STYLES  LES SABLES D OLONNE"/>
    <x v="2"/>
    <s v="01/04/2014"/>
    <n v="50"/>
    <x v="0"/>
    <s v="48 RUE ERIC TABARLY"/>
    <s v="OLONNE SUR MER"/>
    <s v="-"/>
    <x v="552"/>
    <s v="LES SABLES D'OLONNE"/>
    <s v="-1.76985"/>
    <s v="46.513677"/>
    <s v="Centre ville"/>
    <d v="2025-01-01T00:00:00"/>
    <d v="2025-01-01T00:00:00"/>
    <s v="Franchisee"/>
    <s v="GROUPE DUBREUIL"/>
    <s v="Jean-Luc RABAUL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9439"/>
    <s v="IBIS STYLES SARREBOURG"/>
    <x v="2"/>
    <s v="01/01/1989"/>
    <n v="48"/>
    <x v="4"/>
    <s v="15 ROUTE D'IMLING"/>
    <s v="ZONE DE LOISIRS"/>
    <s v="ZAC TERRASSES DE LA SARRE"/>
    <x v="553"/>
    <s v="SARREBOURG"/>
    <s v="7.0375"/>
    <s v="48.721112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1"/>
    <x v="1"/>
    <s v="No"/>
    <s v="Yes"/>
    <n v="2"/>
    <s v="-"/>
    <n v="0"/>
    <s v="-"/>
    <n v="0.5"/>
    <n v="0.5"/>
    <n v="0.4"/>
    <n v="0.6"/>
  </r>
  <r>
    <s v="H9462"/>
    <s v="IBIS SAINT QUENTIN EN YVELINES"/>
    <x v="0"/>
    <s v="01/01/2015"/>
    <n v="92"/>
    <x v="0"/>
    <s v="2 PLACE DE LA PAIX CELESTE"/>
    <s v="-"/>
    <s v="-"/>
    <x v="554"/>
    <s v="MONTIGNY LE BRETONNEUX"/>
    <s v="2.035916"/>
    <s v="48.789235"/>
    <s v="Centre ville"/>
    <d v="2025-01-01T00:00:00"/>
    <d v="2025-01-01T00:00:00"/>
    <s v="Franchisee"/>
    <s v="H.S.I"/>
    <s v="Thomas COSTE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9465"/>
    <s v="IBIS BUDGET SALLANCHES"/>
    <x v="4"/>
    <s v="01/07/2015"/>
    <n v="74"/>
    <x v="0"/>
    <s v="2055 AVENUE DE GENEVE"/>
    <s v="-"/>
    <s v="-"/>
    <x v="112"/>
    <s v="SALLANCHES"/>
    <s v="6.629722"/>
    <s v="45.952778"/>
    <s v="Centre ville"/>
    <d v="2025-01-01T00:00:00"/>
    <d v="2025-01-01T00:00:00"/>
    <s v="Franchisee"/>
    <s v="JACQUES TCHOULFAYAN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471"/>
    <s v="IBIS BUDGET SAINT QUENTIN"/>
    <x v="4"/>
    <s v="14/03/2015"/>
    <n v="88"/>
    <x v="0"/>
    <s v="1 PLACE DE LA PAIX CELESTE"/>
    <s v="-"/>
    <s v="-"/>
    <x v="554"/>
    <s v="MONTIGNY LE BRETONNEUX"/>
    <s v="3.294868"/>
    <s v="49.843144"/>
    <s v="Centre ville"/>
    <d v="2025-01-01T00:00:00"/>
    <d v="2025-01-01T00:00:00"/>
    <s v="Franchisee"/>
    <s v="H.S.I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490"/>
    <s v="IBIS BUDGET SAINT POURCAIN"/>
    <x v="4"/>
    <s v="01/01/2013"/>
    <n v="72"/>
    <x v="0"/>
    <s v="10 RUE JEAN JAURES"/>
    <s v="ZAC LES JALFRETTES"/>
    <s v="-"/>
    <x v="555"/>
    <s v="SAINT POURCAIN SUR SIOULE"/>
    <s v="3.315833"/>
    <s v="46.312778"/>
    <s v="Centre ville"/>
    <d v="2025-01-01T00:00:00"/>
    <d v="2025-01-01T00:00:00"/>
    <s v="Franchisee"/>
    <s v="CEDRIC AGABRIEL"/>
    <s v="Dominique CHEVANCE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9493"/>
    <s v="IBIS STYLES MARENNES OLERON"/>
    <x v="2"/>
    <s v="01/01/2007"/>
    <n v="40"/>
    <x v="4"/>
    <s v="20 RUE DES DROITS DE L'HOMME."/>
    <s v="ZAC FIEF DE FEUSSE"/>
    <s v="-"/>
    <x v="556"/>
    <s v="MARENNES"/>
    <s v="-1.089761"/>
    <s v="45.824318"/>
    <s v="Centre ville"/>
    <d v="2025-01-01T00:00:00"/>
    <d v="2025-01-01T00:00:00"/>
    <s v="Franchisee"/>
    <s v="PA-HOLDING"/>
    <s v="Jerome LANTERNIER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9515"/>
    <s v="IBIS STYLES PARIS VELIZY"/>
    <x v="2"/>
    <s v="01/01/1993"/>
    <n v="86"/>
    <x v="0"/>
    <s v="39 AVENUE DE L EUROPE"/>
    <s v="-"/>
    <s v="-"/>
    <x v="416"/>
    <s v="VELIZY"/>
    <s v="2.218062"/>
    <s v="48.7809"/>
    <s v="Centre ville"/>
    <d v="2025-01-01T00:00:00"/>
    <d v="2025-01-01T00:00:00"/>
    <s v="Franchisee"/>
    <s v="FAMILLE DEWAVRIN"/>
    <s v="Thomas COSTES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9525"/>
    <s v="IBIS STYLES PARIS MASSENA"/>
    <x v="2"/>
    <s v="01/01/1988"/>
    <n v="96"/>
    <x v="0"/>
    <s v="82 84 RUE REGNAULT"/>
    <s v="-"/>
    <s v="-"/>
    <x v="177"/>
    <s v="PARIS"/>
    <s v="2.371477"/>
    <s v="48.823466"/>
    <s v="Centre ville"/>
    <d v="2025-01-01T00:00:00"/>
    <d v="2025-01-01T00:00:00"/>
    <s v="Franchisee"/>
    <s v="GILLES GUTHMANN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541"/>
    <s v="IBIS STYLES CHAMBERY"/>
    <x v="2"/>
    <s v="19/08/1960"/>
    <n v="36"/>
    <x v="4"/>
    <s v="154 RUE SOMMEILLER"/>
    <s v="-"/>
    <s v="-"/>
    <x v="96"/>
    <s v="CHAMBERY"/>
    <s v="5.920566"/>
    <s v="45.569883"/>
    <s v="Centre ville"/>
    <d v="2025-01-01T00:00:00"/>
    <d v="2025-01-01T00:00:00"/>
    <s v="Franchisee"/>
    <s v="CAP HOTELS"/>
    <s v="Bello DIALLO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568"/>
    <s v="IBIS STYLES STRASBOURG AVE RHIN"/>
    <x v="2"/>
    <s v="01/01/2014"/>
    <n v="85"/>
    <x v="0"/>
    <s v="29 AVENUE ARISTIDE BRIAND"/>
    <s v="-"/>
    <s v="-"/>
    <x v="454"/>
    <s v="STRASBOURG"/>
    <s v="7.777569"/>
    <s v="48.569196"/>
    <s v="Centre ville"/>
    <d v="2025-01-01T00:00:00"/>
    <d v="2025-01-01T00:00:00"/>
    <s v="Franchisee"/>
    <s v="FAMILLE HAMM"/>
    <s v="Christophe RUQUEBOEUCH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9569"/>
    <s v="IBIS STYLES CHARTRES"/>
    <x v="2"/>
    <s v="01/01/1980"/>
    <n v="50"/>
    <x v="0"/>
    <s v="ZAC FORUM DU COUDRAY"/>
    <s v="RUE DE LA MALADRERIE"/>
    <s v="-"/>
    <x v="557"/>
    <s v="CHARTRES"/>
    <s v="1.513699"/>
    <s v="48.427157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586"/>
    <s v="IBIS STYLES PARIS B CHAUMONT"/>
    <x v="2"/>
    <s v="01/01/1968"/>
    <n v="64"/>
    <x v="0"/>
    <s v="4 RUE PETIT"/>
    <s v="-"/>
    <s v="-"/>
    <x v="252"/>
    <s v="PARIS"/>
    <s v="2.379372"/>
    <s v="48.884484"/>
    <s v="Centre ville"/>
    <d v="2025-01-01T00:00:00"/>
    <d v="2025-01-01T00:00:00"/>
    <s v="Franchisee"/>
    <s v="MOUFAZAL MAMOUDJY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593"/>
    <s v="IBIS STYLES VILLENEUVE SUR LOT"/>
    <x v="2"/>
    <s v="01/01/2014"/>
    <n v="48"/>
    <x v="4"/>
    <s v="ROUTE DE FUMEL"/>
    <s v="-"/>
    <s v="-"/>
    <x v="558"/>
    <s v="VILLENEUVE SUR LOT"/>
    <s v="0.742693"/>
    <s v="44.40815"/>
    <s v="Centre ville"/>
    <d v="2025-01-01T00:00:00"/>
    <d v="2025-01-01T00:00:00"/>
    <s v="Franchisee"/>
    <s v="SOMNOO"/>
    <s v="Dominique CHEVANCE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9594"/>
    <s v="IBIS BUDGET SITE DU FUTUROSCOPE"/>
    <x v="4"/>
    <s v="01/01/1991"/>
    <n v="43"/>
    <x v="4"/>
    <s v="2 AVENUE THOMAS EDISON"/>
    <s v="BATIMENT B"/>
    <s v="-"/>
    <x v="228"/>
    <s v="CHASSENEUIL DU POITOU"/>
    <s v="0.361314"/>
    <s v="46.668183"/>
    <s v="Centre ville"/>
    <d v="2025-01-01T00:00:00"/>
    <d v="2025-01-01T00:00:00"/>
    <s v="Franchisee"/>
    <s v="BERNADETTE GIRAULT"/>
    <s v="Dominique CHEVANCE"/>
    <x v="0"/>
    <n v="1.5"/>
    <n v="0.7"/>
    <s v="January"/>
    <n v="0.6"/>
    <s v="August"/>
    <n v="0.8"/>
    <x v="1"/>
    <x v="1"/>
    <s v="No"/>
    <s v="Yes"/>
    <n v="1"/>
    <s v="-"/>
    <n v="0"/>
    <n v="1"/>
    <n v="0.5"/>
    <n v="0.5"/>
    <n v="0.4"/>
    <n v="0.6"/>
  </r>
  <r>
    <s v="H9622"/>
    <s v="MERCURE CHERBOURG CENTRE PORT"/>
    <x v="1"/>
    <s v="03/05/2015"/>
    <n v="94"/>
    <x v="0"/>
    <s v="13 QUAI DE L' ENTREPÔT."/>
    <s v="-"/>
    <s v="-"/>
    <x v="559"/>
    <s v="CHERBOURG"/>
    <s v="-1.619518"/>
    <s v="49.636905"/>
    <s v="Centre ville"/>
    <d v="2025-01-01T00:00:00"/>
    <d v="2025-01-01T00:00:00"/>
    <s v="Franchisee"/>
    <s v="PATRICK NOBLEAUX"/>
    <s v="Jean-Francois STEBLER"/>
    <x v="0"/>
    <n v="1.5"/>
    <n v="0.7"/>
    <s v="January"/>
    <n v="0.6"/>
    <s v="August"/>
    <n v="0.8"/>
    <x v="0"/>
    <x v="0"/>
    <s v="No"/>
    <s v="Yes"/>
    <n v="4"/>
    <n v="1"/>
    <n v="0"/>
    <s v="-"/>
    <n v="0.5"/>
    <n v="0.5"/>
    <n v="0.4"/>
    <n v="0.6"/>
  </r>
  <r>
    <s v="H9657"/>
    <s v="IBIS STYLES MEAUX"/>
    <x v="2"/>
    <s v="01/01/1981"/>
    <n v="43"/>
    <x v="4"/>
    <s v="27 PLACE JEAN BUREAUX"/>
    <s v="-"/>
    <s v="-"/>
    <x v="560"/>
    <s v="MEAUX"/>
    <s v="2.877501"/>
    <s v="48.956487"/>
    <s v="Centre ville"/>
    <d v="2025-01-01T00:00:00"/>
    <d v="2025-01-01T00:00:00"/>
    <s v="Franchisee"/>
    <s v="HOQUET - LECRIVAIN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659"/>
    <s v="IBIS STYLES LYON CONFLUENCE"/>
    <x v="2"/>
    <s v="01/01/1990"/>
    <n v="95"/>
    <x v="0"/>
    <s v="26 QUAI PERRACHE"/>
    <s v="-"/>
    <s v="-"/>
    <x v="243"/>
    <s v="LYON"/>
    <s v="4.825826"/>
    <s v="45.74358"/>
    <s v="Centre ville"/>
    <d v="2025-01-01T00:00:00"/>
    <d v="2025-01-01T00:00:00"/>
    <s v="Franchisee"/>
    <s v="FAMILLE LAMELOISE"/>
    <s v="Katia GARNI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9660"/>
    <s v="IBIS BUDGET LYON CONFLUENCE"/>
    <x v="4"/>
    <s v="01/01/1990"/>
    <n v="84"/>
    <x v="0"/>
    <s v="24 QUAI PERRACHE"/>
    <s v="-"/>
    <s v="-"/>
    <x v="243"/>
    <s v="LYON"/>
    <s v="4.8260439999999996"/>
    <s v="45.743864"/>
    <s v="Centre ville"/>
    <d v="2025-01-01T00:00:00"/>
    <d v="2025-01-01T00:00:00"/>
    <s v="Franchisee"/>
    <s v="FAMILLE LAMELOISE"/>
    <s v="Katia GARNIE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9685"/>
    <s v="MERCURE PARIS NOTRE DAME"/>
    <x v="1"/>
    <s v="01/01/1865"/>
    <n v="47"/>
    <x v="4"/>
    <s v="20 RUE DU SOMMERARD"/>
    <s v="-"/>
    <s v="-"/>
    <x v="361"/>
    <s v="PARIS"/>
    <s v="2.345198"/>
    <s v="48.850247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688"/>
    <s v="MERCURE OPERA GD BOULEVARDS"/>
    <x v="1"/>
    <s v="01/01/1870"/>
    <n v="52"/>
    <x v="0"/>
    <s v="42 RUE DES PETITES ECURIES"/>
    <s v="-"/>
    <s v="-"/>
    <x v="144"/>
    <s v="PARIS"/>
    <s v="2.350098"/>
    <s v="48.874042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703"/>
    <s v="MERCURE ORANGE CENTRE"/>
    <x v="1"/>
    <s v="01/01/1977"/>
    <n v="97"/>
    <x v="0"/>
    <s v="258 ROUTE DE CADEROUSSE"/>
    <s v="-"/>
    <s v="-"/>
    <x v="178"/>
    <s v="ORANGE (FR)"/>
    <s v="4.788241"/>
    <s v="44.136838"/>
    <s v="Centre ville"/>
    <d v="2025-01-01T00:00:00"/>
    <d v="2025-01-01T00:00:00"/>
    <s v="Franchisee"/>
    <s v="CASTELLET HOSPITALITY"/>
    <s v="Jean-Claude FOUCHET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9720"/>
    <s v="NOVOTEL PARIS SAINT DENIS"/>
    <x v="3"/>
    <s v="01/01/2015"/>
    <n v="156"/>
    <x v="3"/>
    <s v="1 PLACE DE LA PORTE DE PARIS"/>
    <s v="-"/>
    <s v="-"/>
    <x v="296"/>
    <s v="SAINT DENIS"/>
    <s v="2.357085"/>
    <s v="48.930016"/>
    <s v="Centre ville"/>
    <d v="2025-01-01T00:00:00"/>
    <d v="2025-01-01T00:00:00"/>
    <s v="Franchisee"/>
    <s v="GERARD TEYCHENE"/>
    <s v="Sophie CHOLLON"/>
    <x v="0"/>
    <n v="1.5"/>
    <n v="0.7"/>
    <s v="January"/>
    <n v="0.6"/>
    <s v="August"/>
    <n v="0.8"/>
    <x v="0"/>
    <x v="0"/>
    <s v="No"/>
    <s v="Yes"/>
    <n v="7"/>
    <s v="-"/>
    <n v="0"/>
    <s v="-"/>
    <n v="0.5"/>
    <n v="0.5"/>
    <n v="0.4"/>
    <n v="0.6"/>
  </r>
  <r>
    <s v="H9733"/>
    <s v="IBIS STYLES PARIS CRIMEE"/>
    <x v="2"/>
    <s v="01/01/1930"/>
    <n v="40"/>
    <x v="4"/>
    <s v="219 RUE DE CRIMEE"/>
    <s v="-"/>
    <s v="-"/>
    <x v="252"/>
    <s v="PARIS"/>
    <s v="2.374565"/>
    <s v="48.892483"/>
    <s v="Centre ville"/>
    <d v="2025-01-01T00:00:00"/>
    <d v="2025-01-01T00:00:00"/>
    <s v="Franchisee"/>
    <s v="PHILIPPE GUERRAND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734"/>
    <s v="MERCURE PARIS ALESIA"/>
    <x v="1"/>
    <s v="01/01/1930"/>
    <n v="91"/>
    <x v="0"/>
    <s v="185 BOULEVARD BRUNE"/>
    <s v="-"/>
    <s v="-"/>
    <x v="9"/>
    <s v="PARIS"/>
    <s v="2.324083"/>
    <s v="48.823818"/>
    <s v="Centre ville"/>
    <d v="2025-01-01T00:00:00"/>
    <d v="2025-01-01T00:00:00"/>
    <s v="Franchisee"/>
    <s v="PASCAL DONAT"/>
    <s v="Benoit D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9735"/>
    <s v="MERCURE LILLE CENTRE VIEUX LILLE"/>
    <x v="1"/>
    <s v="01/01/2015"/>
    <n v="74"/>
    <x v="0"/>
    <s v="27 RUE DES TOURS"/>
    <s v="-"/>
    <s v="-"/>
    <x v="153"/>
    <s v="LILLE"/>
    <s v="3.066532"/>
    <s v="50.641717"/>
    <s v="Centre ville"/>
    <d v="2025-01-01T00:00:00"/>
    <d v="2025-01-01T00:00:00"/>
    <s v="Franchisee"/>
    <s v="KER HOSPITALITY"/>
    <s v="Muriel JACQUELIN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742"/>
    <s v="IBIS BUDGET GOUSSAINVILLE CDG"/>
    <x v="4"/>
    <s v="05/03/1991"/>
    <n v="84"/>
    <x v="0"/>
    <s v="19 RUE LE CORBUSIER"/>
    <s v="-"/>
    <s v="-"/>
    <x v="561"/>
    <s v="GOUSSAINVILLE"/>
    <s v="2.46031"/>
    <s v="49.018542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780"/>
    <s v="IBIS BUDGET ALBI TERSSAC"/>
    <x v="4"/>
    <s v="01/06/2014"/>
    <n v="68"/>
    <x v="0"/>
    <s v="ZONE ALBIPOLE"/>
    <s v="30 CHEMIN DE JEAN THOMAS"/>
    <s v="-"/>
    <x v="562"/>
    <s v="ALBI"/>
    <s v="2.083333"/>
    <s v="43.916944"/>
    <s v="Centre ville"/>
    <d v="2025-01-01T00:00:00"/>
    <d v="2025-01-01T00:00:00"/>
    <s v="Franchisee"/>
    <s v="H.S.I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781"/>
    <s v="MERCURE MAUREPAS SAINT QUENTIN"/>
    <x v="1"/>
    <s v="01/01/1973"/>
    <n v="89"/>
    <x v="0"/>
    <s v="1 ROCADE DE CAMARGUE"/>
    <s v="-"/>
    <s v="-"/>
    <x v="332"/>
    <s v="MAUREPAS"/>
    <s v="1.94565"/>
    <s v="48.759426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0"/>
    <s v="No"/>
    <s v="Yes"/>
    <n v="5"/>
    <n v="1"/>
    <n v="0"/>
    <s v="-"/>
    <n v="0.5"/>
    <n v="0.5"/>
    <n v="0.4"/>
    <n v="0.6"/>
  </r>
  <r>
    <s v="H9782"/>
    <s v="IBIS STYLES VIERZON"/>
    <x v="2"/>
    <s v="01/01/2015"/>
    <n v="56"/>
    <x v="0"/>
    <s v="PARC TECHNOLOGIQUE DE SOLOGNE"/>
    <s v="LE BATONNET"/>
    <s v="-"/>
    <x v="563"/>
    <s v="VIERZON"/>
    <s v="2.06719157"/>
    <s v="47.24616745"/>
    <s v="Centre ville"/>
    <d v="2025-01-01T00:00:00"/>
    <d v="2025-01-01T00:00:00"/>
    <s v="Franchisee"/>
    <s v="DAVID DONGAIS"/>
    <s v="Bruno COQUAZ"/>
    <x v="0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9783"/>
    <s v="MERCURE VILLEFRANCHE SUR SAONE"/>
    <x v="1"/>
    <s v="01/01/2012"/>
    <n v="78"/>
    <x v="0"/>
    <s v="384 BOULEVARD LOUIS BLANC"/>
    <s v="-"/>
    <s v="-"/>
    <x v="113"/>
    <s v="VILLEFRANCHE SUR SAONE"/>
    <s v="4.721141"/>
    <s v="45.987292"/>
    <s v="Centre ville"/>
    <d v="2025-01-01T00:00:00"/>
    <d v="2025-01-01T00:00:00"/>
    <s v="Franchisee"/>
    <s v="ATYPIO"/>
    <s v="Katia GARNIER"/>
    <x v="1"/>
    <n v="1.5"/>
    <n v="0.7"/>
    <s v="January"/>
    <n v="0.6"/>
    <s v="August"/>
    <n v="0.8"/>
    <x v="0"/>
    <x v="0"/>
    <s v="No"/>
    <s v="Yes"/>
    <n v="5"/>
    <n v="1"/>
    <n v="0"/>
    <n v="1"/>
    <n v="0.5"/>
    <n v="0.5"/>
    <n v="0.4"/>
    <n v="0.6"/>
  </r>
  <r>
    <s v="H9800"/>
    <s v="MERCURE TROUVILLE SUR MER"/>
    <x v="1"/>
    <s v="27/02/1989"/>
    <n v="80"/>
    <x v="0"/>
    <s v="4 PLACE FOCH"/>
    <s v="-"/>
    <s v="-"/>
    <x v="564"/>
    <s v="TROUVILLE"/>
    <s v="0.079887"/>
    <s v="49.366365"/>
    <s v="Centre ville"/>
    <d v="2025-01-01T00:00:00"/>
    <d v="2025-01-01T00:00:00"/>
    <s v="Franchisee"/>
    <s v="HORTENSE LUZY"/>
    <s v="Ronan LE MEU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9880"/>
    <s v="IBIS STYLES PARIS MONTREUIL"/>
    <x v="2"/>
    <s v="01/06/1989"/>
    <n v="96"/>
    <x v="0"/>
    <s v="15 19 RUE FRANKLIN"/>
    <s v="-"/>
    <s v="-"/>
    <x v="400"/>
    <s v="MONTREUIL"/>
    <s v="2.443581"/>
    <s v="48.862518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9881"/>
    <s v="IBIS BUDGET CHALON NORD"/>
    <x v="4"/>
    <s v="01/09/2014"/>
    <n v="76"/>
    <x v="0"/>
    <s v="2 BIS RUE GEORGES FEYDEAU"/>
    <s v="-"/>
    <s v="-"/>
    <x v="17"/>
    <s v="CHALON SUR SAONE"/>
    <s v="4.837997"/>
    <s v="46.794198"/>
    <s v="Centre ville"/>
    <d v="2025-01-01T00:00:00"/>
    <d v="2025-01-01T00:00:00"/>
    <s v="Franchisee"/>
    <s v="FAMILLE JACQUIER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887"/>
    <s v="IBIS STYLES ALBI CENTRE"/>
    <x v="2"/>
    <s v="06/01/2015"/>
    <n v="77"/>
    <x v="0"/>
    <s v="48 PLACE JEAN JAURES"/>
    <s v="-"/>
    <s v="-"/>
    <x v="231"/>
    <s v="ALBI"/>
    <s v="2.148885"/>
    <s v="43.924869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1"/>
    <x v="2"/>
    <s v="No"/>
    <s v="Yes"/>
    <n v="2"/>
    <s v="-"/>
    <n v="0"/>
    <s v="-"/>
    <n v="0.5"/>
    <n v="0.5"/>
    <n v="0.4"/>
    <n v="0.6"/>
  </r>
  <r>
    <s v="H9907"/>
    <s v="IBIS STYLES NICE CENTRE GARE"/>
    <x v="2"/>
    <s v="28/01/2015"/>
    <n v="135"/>
    <x v="1"/>
    <s v="3-5 AVENUE DURANTE"/>
    <s v="-"/>
    <s v="-"/>
    <x v="14"/>
    <s v="NICE"/>
    <s v="7.262489"/>
    <s v="43.701544"/>
    <s v="Centre ville"/>
    <d v="2025-01-01T00:00:00"/>
    <d v="2025-01-01T00:00:00"/>
    <s v="Franchisee"/>
    <s v="KER HOSPITALITY"/>
    <s v="Marion BORO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9912"/>
    <s v="IBIS STYLES TOULOUSE CAPITOLE"/>
    <x v="2"/>
    <s v="01/01/1870"/>
    <n v="70"/>
    <x v="0"/>
    <s v="20 PLACE DU CAPITOLE"/>
    <s v="-"/>
    <s v="-"/>
    <x v="19"/>
    <s v="TOULOUSE"/>
    <s v="1.442863"/>
    <s v="43.605027"/>
    <s v="Centre ville"/>
    <d v="2025-01-01T00:00:00"/>
    <d v="2025-01-01T00:00:00"/>
    <s v="Franchisee"/>
    <s v="SOUVILLE"/>
    <s v="Jean Francois SANCHEZ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9930"/>
    <s v="IBIS STYLES AJACCIO NAPOLEON"/>
    <x v="2"/>
    <s v="03/09/2019"/>
    <n v="78"/>
    <x v="0"/>
    <s v="91 COURS NAPOLEON"/>
    <s v="-"/>
    <s v="-"/>
    <x v="565"/>
    <s v="AJACCIO"/>
    <s v="8.738891"/>
    <s v="41.929023"/>
    <s v="Centre ville"/>
    <d v="2025-01-01T00:00:00"/>
    <d v="2025-01-01T00:00:00"/>
    <s v="Franchisee"/>
    <s v="KALLISTE"/>
    <s v="Alexandra LAUNAY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A011"/>
    <s v="MERCURE DINAN PORT LE JERZUAL"/>
    <x v="1"/>
    <s v="01/01/2000"/>
    <n v="52"/>
    <x v="0"/>
    <s v="26 QUAI DU TALLARD"/>
    <s v="-"/>
    <s v="-"/>
    <x v="446"/>
    <s v="DINAN"/>
    <s v="-2.035986"/>
    <s v="48.457391"/>
    <s v="Centre ville"/>
    <d v="2025-01-01T00:00:00"/>
    <d v="2025-01-01T00:00:00"/>
    <s v="Franchisee"/>
    <s v="LOIC PRENVEILLE"/>
    <s v="Jean-Francois STEBLER"/>
    <x v="0"/>
    <n v="1.5"/>
    <n v="0.7"/>
    <s v="January"/>
    <n v="0.6"/>
    <s v="August"/>
    <n v="0.8"/>
    <x v="0"/>
    <x v="1"/>
    <s v="No"/>
    <s v="Yes"/>
    <n v="3"/>
    <s v="-"/>
    <n v="0"/>
    <n v="1"/>
    <n v="0.5"/>
    <n v="0.5"/>
    <n v="0.4"/>
    <n v="0.6"/>
  </r>
  <r>
    <s v="HA013"/>
    <s v="IBIS PARIS AV REPUBLIQUE"/>
    <x v="0"/>
    <s v="01/01/2015"/>
    <n v="40"/>
    <x v="4"/>
    <s v="14 RUE RAMPON"/>
    <s v="-"/>
    <s v="-"/>
    <x v="251"/>
    <s v="PARIS"/>
    <s v="2.367891"/>
    <s v="48.866522"/>
    <s v="Centre ville"/>
    <d v="2025-01-01T00:00:00"/>
    <d v="2025-01-01T00:00:00"/>
    <s v="Franchisee"/>
    <s v="MATHIEU GAD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025"/>
    <s v="MERCURE PARIS PIGALLE SACRECOEUR"/>
    <x v="1"/>
    <s v="01/01/1900"/>
    <n v="62"/>
    <x v="0"/>
    <s v="21 BOULEVARD DE CLICHY"/>
    <s v="-"/>
    <s v="-"/>
    <x v="197"/>
    <s v="PARIS"/>
    <s v="2.336389"/>
    <s v="48.8825"/>
    <s v="Centre ville"/>
    <d v="2025-01-01T00:00:00"/>
    <d v="2025-01-01T00:00:00"/>
    <s v="Franchisee"/>
    <s v="SEBASTIEN FRANCOI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26"/>
    <s v="MERCURE MALAKOFF PARC EXPO"/>
    <x v="1"/>
    <s v="01/01/1980"/>
    <n v="52"/>
    <x v="0"/>
    <s v="122 AVENUE PIERRE BROSSOLETTE"/>
    <s v="-"/>
    <s v="-"/>
    <x v="566"/>
    <s v="MALAKOFF"/>
    <s v="2.305978"/>
    <s v="48.816804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027"/>
    <s v="MERCURE PARIS SAINT CLOUD"/>
    <x v="1"/>
    <s v="01/01/1930"/>
    <n v="39"/>
    <x v="4"/>
    <s v="43 BOULEVARD DE LA REPUBLIQUE"/>
    <s v="-"/>
    <s v="-"/>
    <x v="567"/>
    <s v="SAINT CLOUD"/>
    <s v="2.211331"/>
    <s v="48.84497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A028"/>
    <s v="IBIS STYLES PARIS CAMBRONNE"/>
    <x v="2"/>
    <s v="01/01/1900"/>
    <n v="49"/>
    <x v="4"/>
    <s v="166 BOULEVARD DE GRENELLE"/>
    <s v="-"/>
    <s v="-"/>
    <x v="173"/>
    <s v="PARIS"/>
    <s v="2.300135"/>
    <s v="48.847862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38"/>
    <s v="MERCURE NANCY CENTRE GARE"/>
    <x v="1"/>
    <s v="01/01/1975"/>
    <n v="88"/>
    <x v="0"/>
    <s v="11 RUE RAYMOND POINCARE"/>
    <s v="-"/>
    <s v="-"/>
    <x v="194"/>
    <s v="NANCY"/>
    <s v="6.174585"/>
    <s v="48.690611"/>
    <s v="Centre ville"/>
    <d v="2025-01-01T00:00:00"/>
    <d v="2025-01-01T00:00:00"/>
    <s v="Franchisee"/>
    <s v="FAMILLE GIRARD"/>
    <s v="Christophe RUQUEBOEUCHE"/>
    <x v="0"/>
    <n v="1.5"/>
    <n v="0.7"/>
    <s v="January"/>
    <n v="0.6"/>
    <s v="August"/>
    <n v="0.8"/>
    <x v="0"/>
    <x v="0"/>
    <s v="No"/>
    <s v="Yes"/>
    <n v="9"/>
    <n v="1"/>
    <n v="0"/>
    <s v="-"/>
    <n v="0.5"/>
    <n v="0.5"/>
    <n v="0.4"/>
    <n v="0.6"/>
  </r>
  <r>
    <s v="HA039"/>
    <s v="IBIS STYLES PARIS BOULOGNE"/>
    <x v="2"/>
    <s v="01/01/1990"/>
    <n v="48"/>
    <x v="4"/>
    <s v="92 BOULEVARD DE LA REPUBLIQUE"/>
    <s v="-"/>
    <s v="-"/>
    <x v="452"/>
    <s v="BOULOGNE BILLANCOURT"/>
    <s v="2.243764"/>
    <s v="48.83359"/>
    <s v="Centre ville"/>
    <d v="2025-01-01T00:00:00"/>
    <d v="2025-01-01T00:00:00"/>
    <s v="Franchisee"/>
    <s v="MICHAEL GINS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48"/>
    <s v="IBIS BUDGET GRIGNY CENTRE"/>
    <x v="4"/>
    <s v="01/01/1994"/>
    <n v="86"/>
    <x v="0"/>
    <s v="10 AVENUE DES TUILERIES"/>
    <s v="-"/>
    <s v="-"/>
    <x v="568"/>
    <s v="GRIGNY"/>
    <s v="2.394661"/>
    <s v="48.650841"/>
    <s v="Centre ville"/>
    <d v="2025-01-01T00:00:00"/>
    <d v="2025-01-01T00:00:00"/>
    <s v="Franchisee"/>
    <s v="DAVID DASSI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63"/>
    <s v="IBIS BUDGET MULHOUSE CENTRE GARE"/>
    <x v="4"/>
    <s v="17/03/2016"/>
    <n v="68"/>
    <x v="0"/>
    <s v="42 AVENUE DU GENERAL LECLERC"/>
    <s v="-"/>
    <s v="-"/>
    <x v="240"/>
    <s v="MULHOUSE"/>
    <s v="7.345555"/>
    <s v="47.743888"/>
    <s v="Centre ville"/>
    <d v="2025-01-01T00:00:00"/>
    <d v="2025-01-01T00:00:00"/>
    <s v="Franchisee"/>
    <s v="ACCUEIL HOTEL"/>
    <s v="Eric MARAI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068"/>
    <s v="IBIS BUDGET TROYES EST"/>
    <x v="4"/>
    <s v="17/10/2016"/>
    <n v="83"/>
    <x v="0"/>
    <s v="3 RUE DES PERRIÈRES"/>
    <s v="-"/>
    <s v="-"/>
    <x v="569"/>
    <s v="TROYES"/>
    <s v="4.136117"/>
    <s v="48.29413"/>
    <s v="Centre ville"/>
    <d v="2025-01-01T00:00:00"/>
    <d v="2025-01-01T00:00:00"/>
    <s v="Franchisee"/>
    <s v="BLAN - ISRAEL"/>
    <s v="Eric MARAI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69"/>
    <s v="IBIS STYLES MULHOUSE CENTRE GARE"/>
    <x v="2"/>
    <s v="21/03/2016"/>
    <n v="76"/>
    <x v="0"/>
    <s v="44 AVENUE DU GENERAL LECLERC"/>
    <s v="-"/>
    <s v="-"/>
    <x v="240"/>
    <s v="MULHOUSE"/>
    <s v="7.345555"/>
    <s v="47.743888"/>
    <s v="Centre ville"/>
    <d v="2025-01-01T00:00:00"/>
    <d v="2025-01-01T00:00:00"/>
    <s v="Franchisee"/>
    <s v="ACCUEIL HOTEL"/>
    <s v="Eric MARAI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A072"/>
    <s v="MERCURE PARIS OUEST ST GERMAIN"/>
    <x v="1"/>
    <s v="01/01/1900"/>
    <n v="56"/>
    <x v="0"/>
    <s v="11 AVENUE DES LOGES"/>
    <s v="-"/>
    <s v="-"/>
    <x v="570"/>
    <s v="SAINT GERMAIN EN LAYE"/>
    <s v="2.093582"/>
    <s v="48.903667"/>
    <s v="Centre ville"/>
    <d v="2025-01-01T00:00:00"/>
    <d v="2025-01-01T00:00:00"/>
    <s v="Franchisee"/>
    <s v="ATYPIO"/>
    <s v="Pierre LAGRANGE"/>
    <x v="0"/>
    <n v="1.5"/>
    <n v="0.7"/>
    <s v="January"/>
    <n v="0.6"/>
    <s v="August"/>
    <n v="0.8"/>
    <x v="1"/>
    <x v="0"/>
    <s v="No"/>
    <s v="Yes"/>
    <n v="5"/>
    <n v="1"/>
    <n v="0"/>
    <s v="-"/>
    <n v="0.5"/>
    <n v="0.5"/>
    <n v="0.4"/>
    <n v="0.6"/>
  </r>
  <r>
    <s v="HA087"/>
    <s v="IBIS STYLES ANTONY PARIS SUD"/>
    <x v="2"/>
    <s v="01/01/1992"/>
    <n v="106"/>
    <x v="1"/>
    <s v="1 RUE ALEXIS DE TOCQUEVILLE"/>
    <s v="-"/>
    <s v="-"/>
    <x v="354"/>
    <s v="ANTONY"/>
    <s v="2.313815"/>
    <s v="48.732747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A0A2"/>
    <s v="IBIS STYLES TOULOUSE LABEGE"/>
    <x v="2"/>
    <s v="01/01/1980"/>
    <n v="81"/>
    <x v="0"/>
    <s v="120 RUE GARANCE"/>
    <s v="-"/>
    <s v="-"/>
    <x v="571"/>
    <s v="TOULOUSE"/>
    <s v="1.500342"/>
    <s v="43.549598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n v="3"/>
    <n v="1"/>
    <n v="0"/>
    <n v="1"/>
    <n v="0.5"/>
    <n v="0.5"/>
    <n v="0.4"/>
    <n v="0.6"/>
  </r>
  <r>
    <s v="HA0A9"/>
    <s v="IBIS STYLES HYERES ROOFTOP N SPA"/>
    <x v="2"/>
    <s v="01/01/2010"/>
    <n v="41"/>
    <x v="4"/>
    <s v="45 AVENUE EDITH CAVELL"/>
    <s v="-"/>
    <s v="-"/>
    <x v="208"/>
    <s v="HYERES"/>
    <s v="6.124722"/>
    <s v="43.109167"/>
    <s v="Centre ville"/>
    <d v="2025-01-01T00:00:00"/>
    <d v="2025-01-01T00:00:00"/>
    <s v="Franchisee"/>
    <s v="FAMILLE COEUGNIET"/>
    <s v="Marion BOROT"/>
    <x v="0"/>
    <n v="1.5"/>
    <n v="0.7"/>
    <s v="January"/>
    <n v="0.6"/>
    <s v="August"/>
    <n v="0.8"/>
    <x v="0"/>
    <x v="1"/>
    <s v="No"/>
    <s v="Yes"/>
    <n v="1"/>
    <s v="-"/>
    <n v="1"/>
    <s v="-"/>
    <n v="0.5"/>
    <n v="0.5"/>
    <n v="0.4"/>
    <n v="0.6"/>
  </r>
  <r>
    <s v="HA0B0"/>
    <s v="IBIS STYLES MOULINS CENTRE"/>
    <x v="2"/>
    <s v="01/01/1919"/>
    <n v="44"/>
    <x v="4"/>
    <s v="9 PLACE JEAN MOULIN"/>
    <s v="-"/>
    <s v="-"/>
    <x v="105"/>
    <s v="MOULINS"/>
    <s v="3.327154"/>
    <s v="46.565713"/>
    <s v="Centre ville"/>
    <d v="2025-01-01T00:00:00"/>
    <d v="2025-01-01T00:00:00"/>
    <s v="Franchisee"/>
    <s v="HPVA HOTELS"/>
    <s v="Dominique CHEVANCE"/>
    <x v="0"/>
    <n v="1.5"/>
    <n v="0.7"/>
    <s v="January"/>
    <n v="0.6"/>
    <s v="August"/>
    <n v="0.8"/>
    <x v="0"/>
    <x v="1"/>
    <s v="No"/>
    <s v="Yes"/>
    <n v="1"/>
    <n v="1"/>
    <n v="1"/>
    <s v="-"/>
    <n v="0.5"/>
    <n v="0.5"/>
    <n v="0.4"/>
    <n v="0.6"/>
  </r>
  <r>
    <s v="HA0B4"/>
    <s v="IBIS STYLES DEAUVILLE CENTRE"/>
    <x v="2"/>
    <s v="01/04/2015"/>
    <n v="74"/>
    <x v="0"/>
    <s v="10 RUE ROBERT FOSSORIER"/>
    <s v="-"/>
    <s v="-"/>
    <x v="149"/>
    <s v="DEAUVILLE"/>
    <s v="0.074078"/>
    <s v="49.360282"/>
    <s v="Centre ville"/>
    <d v="2025-01-01T00:00:00"/>
    <d v="2025-01-01T00:00:00"/>
    <s v="Franchisee"/>
    <s v="GERARD BERTOUT"/>
    <s v="Ronan LE MEU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A0D3"/>
    <s v="MERCURE MARSEILLE CANEBIERE"/>
    <x v="1"/>
    <s v="01/01/1890"/>
    <n v="90"/>
    <x v="0"/>
    <s v="48 LA CANEBIERE"/>
    <s v="QPARK LEON GAMBETTA"/>
    <s v="-"/>
    <x v="222"/>
    <s v="MARSEILLE"/>
    <s v="5.379321"/>
    <s v="43.296986"/>
    <s v="Centre ville"/>
    <d v="2025-01-01T00:00:00"/>
    <d v="2025-01-01T00:00:00"/>
    <s v="Franchisee"/>
    <s v="ARRELIA"/>
    <s v="Alexandra LAUNAY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A0D4"/>
    <s v="IBIS STYLES COLLIOURE VENDRES"/>
    <x v="2"/>
    <s v="01/10/2015"/>
    <n v="61"/>
    <x v="0"/>
    <s v="9004 ROUTE DE COLLIOURE"/>
    <s v="-"/>
    <s v="-"/>
    <x v="572"/>
    <s v="COLLIOURE"/>
    <s v="3.101111"/>
    <s v="42.523056"/>
    <s v="Centre ville"/>
    <d v="2025-01-01T00:00:00"/>
    <d v="2025-01-01T00:00:00"/>
    <s v="Franchisee"/>
    <s v="ARRELIA"/>
    <s v="Jean Francois SANCHEZ"/>
    <x v="0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A0D8"/>
    <s v="IBIS LYON CARRE DE SOIE"/>
    <x v="0"/>
    <s v="01/01/2017"/>
    <n v="115"/>
    <x v="1"/>
    <s v="20 AVENUE DES CANUTS"/>
    <s v="CS 10081"/>
    <s v="-"/>
    <x v="573"/>
    <s v="VAULX EN VELIN"/>
    <s v="4.922847"/>
    <s v="45.761031"/>
    <s v="Centre ville"/>
    <d v="2025-01-01T00:00:00"/>
    <d v="2025-01-01T00:00:00"/>
    <s v="Franchisee"/>
    <s v="SOHOMA"/>
    <s v="Katia GARNI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A0J3"/>
    <s v="IBIS BUDGET BEZIERS EST"/>
    <x v="4"/>
    <s v="14/07/1994"/>
    <n v="46"/>
    <x v="4"/>
    <s v="2 IMPASSE DE LA GINIESSE"/>
    <s v="-"/>
    <s v="-"/>
    <x v="118"/>
    <s v="BEZIERS"/>
    <s v="3.257017"/>
    <s v="43.3462"/>
    <s v="Centre ville"/>
    <d v="2025-01-01T00:00:00"/>
    <d v="2025-01-01T00:00:00"/>
    <s v="Franchisee"/>
    <s v="SYLVIE DIOP-MOSTACCI"/>
    <s v="Jean Francois SANCHE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X8"/>
    <s v="IBIS STYLES ROUEN CENTRE"/>
    <x v="2"/>
    <s v="01/01/1952"/>
    <n v="48"/>
    <x v="4"/>
    <s v="9 PLACE DE LA REPUBLIQUE"/>
    <s v="-"/>
    <s v="-"/>
    <x v="242"/>
    <s v="ROUEN"/>
    <s v="1.096183"/>
    <s v="49.437454"/>
    <s v="Centre ville"/>
    <d v="2025-01-01T00:00:00"/>
    <d v="2025-01-01T00:00:00"/>
    <s v="Franchisee"/>
    <s v="ATYPIO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X9"/>
    <s v="IBIS STYLES MARSEILLE VX PORT"/>
    <x v="2"/>
    <s v="01/01/1920"/>
    <n v="52"/>
    <x v="0"/>
    <s v="7 COURS SAINT LOUIS"/>
    <s v="-"/>
    <s v="-"/>
    <x v="222"/>
    <s v="MARSEILLE"/>
    <s v="5.378054"/>
    <s v="43.296086"/>
    <s v="Centre ville"/>
    <d v="2025-01-01T00:00:00"/>
    <d v="2025-01-01T00:00:00"/>
    <s v="Franchisee"/>
    <s v="PARFIRES"/>
    <s v="Alexandra LAUNAY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0Y0"/>
    <s v="IBIS STYLES PARIS P MONTREUIL"/>
    <x v="2"/>
    <s v="29/04/1987"/>
    <n v="60"/>
    <x v="0"/>
    <s v="36 RUE DE LA CROIX SAINT SIMON"/>
    <s v="-"/>
    <s v="-"/>
    <x v="305"/>
    <s v="PARIS"/>
    <s v="2.409515"/>
    <s v="48.855163"/>
    <s v="Centre ville"/>
    <d v="2025-01-01T00:00:00"/>
    <d v="2025-01-01T00:00:00"/>
    <s v="Franchisee"/>
    <s v="SOHOMA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0Y1"/>
    <s v="MERCURE BAYONNE CENTRE"/>
    <x v="1"/>
    <s v="01/01/1835"/>
    <n v="54"/>
    <x v="0"/>
    <s v="21 RUE THIERS"/>
    <s v="-"/>
    <s v="-"/>
    <x v="276"/>
    <s v="BAYONNE"/>
    <s v="-1.476461"/>
    <s v="43.492304"/>
    <s v="Centre ville"/>
    <d v="2025-01-01T00:00:00"/>
    <d v="2025-01-01T00:00:00"/>
    <s v="Franchisee"/>
    <s v="BANQUET D'ORX - ERMEL."/>
    <s v="Jerome LANTERNI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A0Y2"/>
    <s v="IBIS BUDGET SARREBOURG BUHL"/>
    <x v="4"/>
    <s v="01/01/1999"/>
    <n v="61"/>
    <x v="0"/>
    <s v="16 RUE COLUMBIA"/>
    <s v="ZONE ARIANE PLUS"/>
    <s v="ZONE D'ACTIVITÉS ARIANE PLUS"/>
    <x v="553"/>
    <s v="SARREBOURG"/>
    <s v="7.080555"/>
    <s v="48.733333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1B8"/>
    <s v="MERCURE ST MALO BALMORAL"/>
    <x v="1"/>
    <s v="01/01/2010"/>
    <n v="77"/>
    <x v="0"/>
    <s v="24 RUE THEODORE MONOD"/>
    <s v="-"/>
    <s v="-"/>
    <x v="135"/>
    <s v="SAINT MALO"/>
    <s v="-2.005849"/>
    <s v="48.646488"/>
    <s v="Centre ville"/>
    <d v="2025-01-01T00:00:00"/>
    <d v="2025-01-01T00:00:00"/>
    <s v="Franchisee"/>
    <s v="FAMILLE FOUENEL"/>
    <s v="Jean-Francois STEBLER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A1B9"/>
    <s v="IBIS STYLES AUXERRE NORD"/>
    <x v="2"/>
    <s v="15/05/1975"/>
    <n v="68"/>
    <x v="0"/>
    <s v="CARREFOUR DE L EUROPE"/>
    <s v="-"/>
    <s v="-"/>
    <x v="247"/>
    <s v="AUXERRE"/>
    <s v="3.560459"/>
    <s v="47.816448"/>
    <s v="Centre ville"/>
    <d v="2025-01-01T00:00:00"/>
    <d v="2025-01-01T00:00:00"/>
    <s v="Franchisee"/>
    <s v="JEAN MARIE FRAGNE"/>
    <s v="Bruno COQUAZ"/>
    <x v="0"/>
    <n v="1.5"/>
    <n v="0.7"/>
    <s v="January"/>
    <n v="0.6"/>
    <s v="August"/>
    <n v="0.8"/>
    <x v="0"/>
    <x v="0"/>
    <s v="No"/>
    <s v="Yes"/>
    <n v="6"/>
    <s v="-"/>
    <n v="0"/>
    <n v="1"/>
    <n v="0.5"/>
    <n v="0.5"/>
    <n v="0.4"/>
    <n v="0.6"/>
  </r>
  <r>
    <s v="HA1J8"/>
    <s v="IBIS STYLES MARSEILLE GARE"/>
    <x v="2"/>
    <s v="01/01/2012"/>
    <n v="59"/>
    <x v="0"/>
    <s v="28 BOULEVARD D ATHENES"/>
    <s v="-"/>
    <s v="-"/>
    <x v="222"/>
    <s v="MARSEILLE"/>
    <s v="5.381003"/>
    <s v="43.301132"/>
    <s v="Centre ville"/>
    <d v="2025-01-01T00:00:00"/>
    <d v="2025-01-01T00:00:00"/>
    <s v="Franchisee"/>
    <s v="PARFIRES"/>
    <s v="Alexandra LAUNAY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A1R3"/>
    <s v="IBIS BUDGET AUXERRE CENTRE"/>
    <x v="4"/>
    <s v="20/06/2018"/>
    <n v="49"/>
    <x v="4"/>
    <s v="28 RUE ETIENNE DOLET"/>
    <s v="-"/>
    <s v="-"/>
    <x v="247"/>
    <s v="AUXERRE"/>
    <s v="3.577837"/>
    <s v="47.798416"/>
    <s v="Centre ville"/>
    <d v="2025-01-01T00:00:00"/>
    <d v="2025-01-01T00:00:00"/>
    <s v="Franchisee"/>
    <s v="ALAIN GEHIN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1R5"/>
    <s v="IBIS SAINT GERMAIN EN LAYE"/>
    <x v="0"/>
    <s v="18/05/2017"/>
    <n v="61"/>
    <x v="0"/>
    <s v="10 BIS RUE DES JOUERIES"/>
    <s v="-"/>
    <s v="-"/>
    <x v="570"/>
    <s v="SAINT GERMAIN EN LAYE"/>
    <s v="2.090485"/>
    <s v="48.896082"/>
    <s v="Centre ville"/>
    <d v="2025-01-01T00:00:00"/>
    <d v="2025-01-01T00:00:00"/>
    <s v="Franchisee"/>
    <s v="JULIEN SIBERCHICOT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211"/>
    <s v="MERCURE MLV BUSSY ST GEORGES"/>
    <x v="1"/>
    <s v="01/01/1992"/>
    <n v="87"/>
    <x v="0"/>
    <s v="44 BOULEVARD ANTOINE GIROUST"/>
    <s v="-"/>
    <s v="-"/>
    <x v="574"/>
    <s v="BUSSY SAINT GEROGES"/>
    <s v="2.712106"/>
    <s v="48.839053"/>
    <s v="Centre ville"/>
    <d v="2025-01-01T00:00:00"/>
    <d v="2025-01-01T00:00:00"/>
    <s v="Franchisee"/>
    <s v="FAMILLE DEWAVRIN"/>
    <s v="Thomas COSTES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A212"/>
    <s v="IBIS STYLES CHALONS CENTRE"/>
    <x v="2"/>
    <s v="01/01/2017"/>
    <n v="70"/>
    <x v="0"/>
    <s v="26 PLACE DE LA RÉPUBLIQUE"/>
    <s v="ACCESS PARKING : 19 RUE LOCHET"/>
    <s v="-"/>
    <x v="125"/>
    <s v="CHALONS EN CHAMPAGNE"/>
    <s v="4.362644"/>
    <s v="48.955389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A285"/>
    <s v="IBIS BUDGET DIEPPE CENTRE PORT"/>
    <x v="4"/>
    <s v="15/05/2018"/>
    <n v="61"/>
    <x v="0"/>
    <s v="8 BOULEVARD DU GENERAL"/>
    <s v="DE GAULLE"/>
    <s v="-"/>
    <x v="98"/>
    <s v="DIEPPE"/>
    <s v="1.080228"/>
    <s v="49.923763"/>
    <s v="Centre ville"/>
    <d v="2025-01-01T00:00:00"/>
    <d v="2025-01-01T00:00:00"/>
    <s v="Franchisee"/>
    <s v="LUDOVIC WALOSZEK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312"/>
    <s v="NOVOTEL TOURS CENTRE GARE"/>
    <x v="3"/>
    <s v="01/01/1992"/>
    <n v="105"/>
    <x v="1"/>
    <s v="15 RUE EDOUARD VAILLANT"/>
    <s v="-"/>
    <s v="-"/>
    <x v="259"/>
    <s v="TOURS"/>
    <s v="0.69574"/>
    <s v="47.388738"/>
    <s v="Centre ville"/>
    <d v="2025-01-01T00:00:00"/>
    <d v="2025-01-01T00:00:00"/>
    <s v="Franchisee"/>
    <s v="FERRE HOTELS"/>
    <s v="Bruno COQUAZ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A314"/>
    <s v="IBIS STYLES TOULOUSE NORD"/>
    <x v="2"/>
    <s v="01/01/1986"/>
    <n v="68"/>
    <x v="0"/>
    <s v="49 RUE JEAN ZAY"/>
    <s v="-"/>
    <s v="-"/>
    <x v="340"/>
    <s v="TOULOUSE"/>
    <s v="1.425232"/>
    <s v="43.652284"/>
    <s v="Centre ville"/>
    <d v="2025-01-01T00:00:00"/>
    <d v="2025-01-01T00:00:00"/>
    <s v="Franchisee"/>
    <s v="FAMILLE FAURE"/>
    <s v="Jean Francois SANCHEZ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A331"/>
    <s v="IBIS BUDGET RENNES RTE LORIENT"/>
    <x v="4"/>
    <s v="25/04/2018"/>
    <n v="75"/>
    <x v="0"/>
    <s v="4 RUE DES CHEVRONS"/>
    <s v="-"/>
    <s v="-"/>
    <x v="136"/>
    <s v="RENNES"/>
    <s v="-1.726829"/>
    <s v="48.10833"/>
    <s v="Centre ville"/>
    <d v="2025-01-01T00:00:00"/>
    <d v="2025-01-01T00:00:00"/>
    <s v="Franchisee"/>
    <s v="JEAN-PAUL CHAPIN"/>
    <s v="Jean-Francois STEBL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345"/>
    <s v="IBIS MONTLHERY PARIS SUD"/>
    <x v="0"/>
    <s v="01/06/2020"/>
    <n v="99"/>
    <x v="0"/>
    <s v="64 ROUTE D'ORLÉANS"/>
    <s v="-"/>
    <s v="-"/>
    <x v="575"/>
    <s v="MONTLHERY"/>
    <s v="2.270489"/>
    <s v="48.64573"/>
    <s v="Centre ville"/>
    <d v="2025-01-01T00:00:00"/>
    <d v="2025-01-01T00:00:00"/>
    <s v="Franchisee"/>
    <s v="FAMILLE MARQUET"/>
    <s v="Pierre LAGRANG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A3C7"/>
    <s v="IBIS STYLES PARIS CLICHY"/>
    <x v="2"/>
    <s v="01/01/1980"/>
    <n v="44"/>
    <x v="4"/>
    <s v="14 RUE DAGOBERT"/>
    <s v="-"/>
    <s v="-"/>
    <x v="374"/>
    <s v="CLICHY"/>
    <s v="2.3052585"/>
    <s v="48.9030484"/>
    <s v="Centre ville"/>
    <d v="2025-01-01T00:00:00"/>
    <d v="2025-01-01T00:00:00"/>
    <s v="Franchisee"/>
    <s v="MICHAEL GINS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3N2"/>
    <s v="IBIS STYLES ROUEN VAL DE REUIL"/>
    <x v="2"/>
    <s v="01/07/1987"/>
    <n v="78"/>
    <x v="0"/>
    <s v="RUELLE DU COIN DES SAULES"/>
    <s v="-"/>
    <s v="-"/>
    <x v="238"/>
    <s v="VAL DE REUIL"/>
    <s v="1.186759"/>
    <s v="49.247508"/>
    <s v="Centre ville"/>
    <d v="2025-01-01T00:00:00"/>
    <d v="2025-01-01T00:00:00"/>
    <s v="Franchisee"/>
    <s v="FAMILLE DEWAVRIN"/>
    <s v="Thomas COSTES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A3N4"/>
    <s v="IBIS BUDGET MARCQ EN BAROEUL"/>
    <x v="4"/>
    <s v="01/01/1991"/>
    <n v="67"/>
    <x v="0"/>
    <s v="340 AVENUE DE LA MARNE"/>
    <s v="PARC EUROPE"/>
    <s v="-"/>
    <x v="213"/>
    <s v="MARCQ EN BAROEUL"/>
    <s v="3.11784"/>
    <s v="50.67571"/>
    <s v="Centre ville"/>
    <d v="2025-01-01T00:00:00"/>
    <d v="2025-01-01T00:00:00"/>
    <s v="Franchisee"/>
    <s v="FRANCOIS BERTELOOT"/>
    <s v="Muriel JACQUELIN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3P0"/>
    <s v="IBIS BUDGET AMIENS CENTRE GARE"/>
    <x v="4"/>
    <s v="01/06/2017"/>
    <n v="88"/>
    <x v="0"/>
    <s v="15 RUE DEJEAN"/>
    <s v="-"/>
    <s v="-"/>
    <x v="490"/>
    <s v="AMIENS"/>
    <s v="2.313573"/>
    <s v="49.891591"/>
    <s v="Centre ville"/>
    <d v="2025-01-01T00:00:00"/>
    <d v="2025-01-01T00:00:00"/>
    <s v="Franchisee"/>
    <s v="ALBORAN"/>
    <s v="Muriel JACQUELINE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A475"/>
    <s v="IBIS BUDGET LIMOGES NORD"/>
    <x v="4"/>
    <s v="11/09/2006"/>
    <n v="72"/>
    <x v="0"/>
    <s v="110 AVENUE DE BRACHAUD"/>
    <s v="-"/>
    <s v="-"/>
    <x v="62"/>
    <s v="LIMOGES"/>
    <s v="1.28748"/>
    <s v="45.87509"/>
    <s v="Centre ville"/>
    <d v="2025-01-01T00:00:00"/>
    <d v="2025-01-01T00:00:00"/>
    <s v="Franchisee"/>
    <s v="PIERRE BERTOLINO"/>
    <s v="Dominique CHEVANCE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A480"/>
    <s v="IBIS STYLES CARCASSONNE CITE"/>
    <x v="2"/>
    <s v="24/05/2005"/>
    <n v="60"/>
    <x v="0"/>
    <s v="2 RUE DARIUS MILHAUD"/>
    <s v="-"/>
    <s v="-"/>
    <x v="95"/>
    <s v="CARCASSONNE"/>
    <s v="2.372565"/>
    <s v="43.207496"/>
    <s v="Centre ville"/>
    <d v="2025-01-01T00:00:00"/>
    <d v="2025-01-01T00:00:00"/>
    <s v="Franchisee"/>
    <s v="GUILLAUME BENINCASA"/>
    <s v="Jean Francois SANCHEZ"/>
    <x v="0"/>
    <n v="1.5"/>
    <n v="0.7"/>
    <s v="January"/>
    <n v="0.6"/>
    <s v="August"/>
    <n v="0.8"/>
    <x v="0"/>
    <x v="0"/>
    <s v="No"/>
    <s v="Yes"/>
    <n v="1"/>
    <n v="1"/>
    <n v="0"/>
    <n v="1"/>
    <n v="0.5"/>
    <n v="0.5"/>
    <n v="0.4"/>
    <n v="0.6"/>
  </r>
  <r>
    <s v="HA4A5"/>
    <s v="MERCURE BREST LES VOYAGEURS"/>
    <x v="1"/>
    <s v="01/01/1950"/>
    <n v="40"/>
    <x v="4"/>
    <s v="2 RUE YVES COLLET"/>
    <s v="-"/>
    <s v="-"/>
    <x v="249"/>
    <s v="BREST"/>
    <s v="-4.483951"/>
    <s v="48.389136"/>
    <s v="Centre ville"/>
    <d v="2025-01-01T00:00:00"/>
    <d v="2025-01-01T00:00:00"/>
    <s v="Franchisee"/>
    <s v="GUY DIQUELOU"/>
    <s v="Jean-Luc RABAULT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A4A6"/>
    <s v="IBIS STYLES PARIS PLACE ITALIE"/>
    <x v="2"/>
    <s v="01/01/1920"/>
    <n v="72"/>
    <x v="0"/>
    <s v="22 RUE BARRAULT"/>
    <s v="-"/>
    <s v="-"/>
    <x v="177"/>
    <s v="PARIS"/>
    <s v="2.346857"/>
    <s v="48.828509"/>
    <s v="Centre ville"/>
    <d v="2025-01-01T00:00:00"/>
    <d v="2025-01-01T00:00:00"/>
    <s v="Franchisee"/>
    <s v="FAMILLE KERJOUAN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4C1"/>
    <s v="IBIS STYLES CASTRES"/>
    <x v="2"/>
    <s v="01/01/2013"/>
    <n v="45"/>
    <x v="4"/>
    <s v="29 RUE JEAN SOUTERENE"/>
    <s v="LE SIALA"/>
    <s v="-"/>
    <x v="576"/>
    <s v="CASTRES"/>
    <s v="2.268181"/>
    <s v="43.589679"/>
    <s v="Centre ville"/>
    <d v="2025-01-01T00:00:00"/>
    <d v="2025-01-01T00:00:00"/>
    <s v="Franchisee"/>
    <s v="SEVERINE FRAYSSE"/>
    <s v="Jean Francois SANCHEZ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A4C2"/>
    <s v="MERCURE CASTRES L OCCITAN"/>
    <x v="1"/>
    <s v="01/01/1978"/>
    <n v="62"/>
    <x v="0"/>
    <s v="201 AVENUE CHARLES DE GAULLE"/>
    <s v="-"/>
    <s v="-"/>
    <x v="576"/>
    <s v="CASTRES"/>
    <s v="2.257524"/>
    <s v="43.599602"/>
    <s v="Centre ville"/>
    <d v="2025-01-01T00:00:00"/>
    <d v="2025-01-01T00:00:00"/>
    <s v="Franchisee"/>
    <s v="SEVERINE FRAYSSE"/>
    <s v="Jean Francois SANCHEZ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A547"/>
    <s v="IBIS BORDEAUX CENTRE GARE"/>
    <x v="0"/>
    <s v="01/01/1990"/>
    <n v="68"/>
    <x v="0"/>
    <s v="28 RUE CHARLES DOMERCQ"/>
    <s v="-"/>
    <s v="-"/>
    <x v="267"/>
    <s v="BORDEAUX"/>
    <s v="-0.556997"/>
    <s v="44.826475"/>
    <s v="Centre ville"/>
    <d v="2025-01-01T00:00:00"/>
    <d v="2025-01-01T00:00:00"/>
    <s v="Franchisee"/>
    <s v="SERITEL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548"/>
    <s v="IBIS STYLES GUYANCOURT"/>
    <x v="2"/>
    <s v="01/09/2016"/>
    <n v="102"/>
    <x v="1"/>
    <s v="PLACE CHARLOTTE PERRIAND"/>
    <s v="-"/>
    <s v="-"/>
    <x v="577"/>
    <s v="GUYANCOURT"/>
    <s v="2.080092"/>
    <s v="48.765792"/>
    <s v="Centre ville"/>
    <d v="2025-01-01T00:00:00"/>
    <d v="2025-01-01T00:00:00"/>
    <s v="Franchisee"/>
    <s v="SOHOMA"/>
    <s v="Pierre LAGRANG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A5H4"/>
    <s v="IBIS BUDGET BOBIGNY PANTIN"/>
    <x v="4"/>
    <s v="01/01/2010"/>
    <n v="113"/>
    <x v="1"/>
    <s v="60 68 AV HENRI BARBUSSE"/>
    <s v="-"/>
    <s v="-"/>
    <x v="578"/>
    <s v="BOBIGNY"/>
    <s v="2.423001"/>
    <s v="48.905969"/>
    <s v="Centre ville"/>
    <d v="2025-01-01T00:00:00"/>
    <d v="2025-01-01T00:00:00"/>
    <s v="Franchisee"/>
    <s v="DAVID DASSI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5I1"/>
    <s v="IBIS STYLES TOULOUSE AEROPORT"/>
    <x v="2"/>
    <s v="01/01/2008"/>
    <n v="80"/>
    <x v="0"/>
    <s v="45 RUE DE BORDEBASSE"/>
    <s v="-"/>
    <s v="-"/>
    <x v="151"/>
    <s v="BLAGNAC"/>
    <s v="1.375188"/>
    <s v="43.637997"/>
    <s v="Centre ville"/>
    <d v="2025-01-01T00:00:00"/>
    <d v="2025-01-01T00:00:00"/>
    <s v="Franchisee"/>
    <s v="FAMILLE BOHY"/>
    <s v="Jean Francois SANCHEZ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A5T2"/>
    <s v="MERCURE PARIS GENNEVILLIERS"/>
    <x v="1"/>
    <s v="02/04/2018"/>
    <n v="144"/>
    <x v="1"/>
    <s v="3 AVENUE DES LOUVRESSES"/>
    <s v="ZAC DES LOUVRESSES"/>
    <s v="-"/>
    <x v="298"/>
    <s v="GENNEVILLIERS"/>
    <s v="2.3053140201955191"/>
    <s v="48.940376798143966"/>
    <s v="Centre ville"/>
    <d v="2025-01-01T00:00:00"/>
    <d v="2025-01-01T00:00:00"/>
    <s v="Franchisee"/>
    <s v="SUITCASE HOSPITALITY"/>
    <s v="Thomas COSTES"/>
    <x v="0"/>
    <n v="1.5"/>
    <n v="0.7"/>
    <s v="January"/>
    <n v="0.6"/>
    <s v="August"/>
    <n v="0.8"/>
    <x v="0"/>
    <x v="0"/>
    <s v="No"/>
    <s v="Yes"/>
    <n v="4"/>
    <n v="1"/>
    <n v="0"/>
    <s v="-"/>
    <n v="0.5"/>
    <n v="0.5"/>
    <n v="0.4"/>
    <n v="0.6"/>
  </r>
  <r>
    <s v="HA5T5"/>
    <s v="IBIS BUDGET GENNEVILLIERS"/>
    <x v="4"/>
    <s v="10/09/2017"/>
    <n v="133"/>
    <x v="1"/>
    <s v="5 AVENUE DES LOUVRESSES"/>
    <s v="ZAC DES LOUVRESSES"/>
    <s v="-"/>
    <x v="298"/>
    <s v="GENNEVILLIERS"/>
    <s v="2.30495"/>
    <s v="48.942056"/>
    <s v="Centre ville"/>
    <d v="2025-01-01T00:00:00"/>
    <d v="2025-01-01T00:00:00"/>
    <s v="Franchisee"/>
    <s v="SUITCASE HOSPITALITY"/>
    <s v="Thomas COSTES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A6Q0"/>
    <s v="MERCURE VILLENEUVE SUR LOT"/>
    <x v="1"/>
    <s v="13/12/2012"/>
    <n v="30"/>
    <x v="4"/>
    <s v="ROUTE DE CASSENEUIL"/>
    <s v="-"/>
    <s v="-"/>
    <x v="558"/>
    <s v="VILLENEUVE SUR LOT"/>
    <s v="0.700464"/>
    <s v="44.424525"/>
    <s v="Centre ville"/>
    <d v="2025-01-01T00:00:00"/>
    <d v="2025-01-01T00:00:00"/>
    <s v="Franchisee"/>
    <s v="PATRICK HEUZE"/>
    <s v="Dominique CHEVANCE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A6Q1"/>
    <s v="IBIS STYLES CLAMART GARE"/>
    <x v="2"/>
    <s v="17/07/2017"/>
    <n v="47"/>
    <x v="4"/>
    <s v="11 BIS RUE DU CLOS MONTHOLON"/>
    <s v="-"/>
    <s v="-"/>
    <x v="579"/>
    <s v="CLAMART"/>
    <s v="2.2738034"/>
    <s v="48.8144413"/>
    <s v="Centre ville"/>
    <d v="2025-01-01T00:00:00"/>
    <d v="2025-01-01T00:00:00"/>
    <s v="Managed"/>
    <s v="SAS RGH"/>
    <s v="Stephanie BAUM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6Q5"/>
    <s v="IBIS STYLES VICHY CENTRE"/>
    <x v="2"/>
    <s v="01/01/1980"/>
    <n v="45"/>
    <x v="4"/>
    <s v="11 AVENUE PIERRE COULON"/>
    <s v="-"/>
    <s v="-"/>
    <x v="81"/>
    <s v="VICHY"/>
    <s v="3.416837"/>
    <s v="46.127915"/>
    <s v="Centre ville"/>
    <d v="2025-01-01T00:00:00"/>
    <d v="2025-01-01T00:00:00"/>
    <s v="Franchisee"/>
    <s v="JEAN MARIE FRAGNE"/>
    <s v="Dominique CHEVANC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A6S7"/>
    <s v="MERCURE PARIS 17 BATIGNOLLES"/>
    <x v="1"/>
    <s v="14/05/2018"/>
    <n v="134"/>
    <x v="1"/>
    <s v="118 RUE DE TOCQUEVILLE"/>
    <s v="-"/>
    <s v="-"/>
    <x v="20"/>
    <s v="PARIS"/>
    <s v="2.306853"/>
    <s v="48.888137"/>
    <s v="Centre ville"/>
    <d v="2025-01-01T00:00:00"/>
    <d v="2025-01-01T00:00:00"/>
    <s v="Franchisee"/>
    <s v="FAMILLE JACQUIER"/>
    <s v="Pierre LAGRANG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A780"/>
    <s v="MERCURE PARIS SAINT OUEN"/>
    <x v="1"/>
    <s v="01/01/1997"/>
    <n v="140"/>
    <x v="1"/>
    <s v="115 AVENUE GABRIEL PERI"/>
    <s v="-"/>
    <s v="-"/>
    <x v="580"/>
    <s v="SAINT-OUEN"/>
    <s v="2.330929"/>
    <s v="48.902654"/>
    <s v="Centre ville"/>
    <d v="2025-01-01T00:00:00"/>
    <d v="2025-01-01T00:00:00"/>
    <s v="Franchisee"/>
    <s v="SOHOMA"/>
    <s v="Pierre LAGRANGE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A7L6"/>
    <s v="NOVOTEL PARIS PORTE VERSAILLES"/>
    <x v="3"/>
    <s v="15/01/2020"/>
    <n v="245"/>
    <x v="6"/>
    <s v="4 AV DE LA PORTE DE LA PLAINE"/>
    <s v="-"/>
    <s v="-"/>
    <x v="173"/>
    <s v="PARIS"/>
    <s v="2.292245"/>
    <s v="48.830077"/>
    <s v="Centre ville"/>
    <d v="2025-01-01T00:00:00"/>
    <d v="2025-01-01T00:00:00"/>
    <s v="Managed"/>
    <s v="ACCORINVEST FRANCE"/>
    <s v="Philippe JAUSSELY"/>
    <x v="0"/>
    <n v="1.5"/>
    <n v="0.7"/>
    <s v="January"/>
    <n v="0.6"/>
    <s v="August"/>
    <n v="0.8"/>
    <x v="2"/>
    <x v="3"/>
    <s v="No"/>
    <s v="Yes"/>
    <n v="3"/>
    <n v="1"/>
    <n v="0"/>
    <s v="-"/>
    <n v="0.5"/>
    <n v="0.5"/>
    <n v="0.4"/>
    <n v="0.6"/>
  </r>
  <r>
    <s v="HA8Q1"/>
    <s v="IBIS STYLES LE MANS SUD"/>
    <x v="2"/>
    <s v="25/05/2009"/>
    <n v="70"/>
    <x v="0"/>
    <s v="51 RUE DES PINS"/>
    <s v="-"/>
    <s v="-"/>
    <x v="581"/>
    <s v="MULSANNE"/>
    <s v="0.246783"/>
    <s v="47.909711"/>
    <s v="Centre ville"/>
    <d v="2025-01-01T00:00:00"/>
    <d v="2025-01-01T00:00:00"/>
    <s v="Franchisee"/>
    <s v="GROUPE VIKINGS HOTELLERIE"/>
    <s v="Bruno COQUAZ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A8R1"/>
    <s v="IBIS STYLES PARIS SAINT LAZARE"/>
    <x v="2"/>
    <s v="01/01/1850"/>
    <n v="81"/>
    <x v="0"/>
    <s v="9 RUE DE CONSTANTINOPLE"/>
    <s v="-"/>
    <s v="-"/>
    <x v="295"/>
    <s v="PARIS"/>
    <s v="2.32094"/>
    <s v="48.879695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8V4"/>
    <s v="IBIS STYLES NANTES CENTRE GARE"/>
    <x v="2"/>
    <s v="01/01/1870"/>
    <n v="93"/>
    <x v="0"/>
    <s v="8 ALLEE DU COMMANDANT CHARCOT"/>
    <s v="-"/>
    <s v="-"/>
    <x v="172"/>
    <s v="NANTES"/>
    <s v="-1.544413"/>
    <s v="47.217668"/>
    <s v="Centre ville"/>
    <d v="2025-01-01T00:00:00"/>
    <d v="2025-01-01T00:00:00"/>
    <s v="Franchisee"/>
    <s v="BERNARD LEFEBVRE"/>
    <s v="Jean-Luc RABAULT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A9A2"/>
    <s v="MERCURE VILLENEUVE LOUBET"/>
    <x v="1"/>
    <s v="01/01/1970"/>
    <n v="45"/>
    <x v="4"/>
    <s v="215 BOULEVARD ÉRIC TABARLY"/>
    <s v="-"/>
    <s v="-"/>
    <x v="582"/>
    <s v="VILLENEUVE LOUBET"/>
    <s v="7.140443"/>
    <s v="43.637861"/>
    <s v="Centre ville"/>
    <d v="2025-01-01T00:00:00"/>
    <d v="2025-01-01T00:00:00"/>
    <s v="Franchisee"/>
    <s v="NATHANIEL GUEDJ"/>
    <s v="Marion BOROT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A9F1"/>
    <s v="MERCURE MOULINS CENTRE"/>
    <x v="1"/>
    <s v="01/01/1834"/>
    <n v="28"/>
    <x v="4"/>
    <s v="21 RUE DE PARIS"/>
    <s v="-"/>
    <s v="-"/>
    <x v="105"/>
    <s v="MOULINS"/>
    <s v="3.330452"/>
    <s v="46.568063"/>
    <s v="Centre ville"/>
    <d v="2025-01-01T00:00:00"/>
    <d v="2025-01-01T00:00:00"/>
    <s v="Franchisee"/>
    <s v="HPVA HOTELS"/>
    <s v="Dominique CHEVANCE"/>
    <x v="0"/>
    <n v="1.5"/>
    <n v="0.7"/>
    <s v="January"/>
    <n v="0.6"/>
    <s v="August"/>
    <n v="0.8"/>
    <x v="1"/>
    <x v="1"/>
    <s v="No"/>
    <s v="Yes"/>
    <n v="5"/>
    <s v="-"/>
    <n v="1"/>
    <n v="1"/>
    <n v="0.5"/>
    <n v="0.5"/>
    <n v="0.4"/>
    <n v="0.6"/>
  </r>
  <r>
    <s v="HA9I7"/>
    <s v="IBIS STYLES PUTEAUX DEFENSE"/>
    <x v="2"/>
    <s v="17/01/2019"/>
    <n v="84"/>
    <x v="0"/>
    <s v="97 AVENUE DU GÉNÉRAL-DE-GAULLE"/>
    <s v="-"/>
    <s v="-"/>
    <x v="583"/>
    <s v="PUTEAUX"/>
    <s v="2.229804"/>
    <s v="48.885817"/>
    <s v="Centre ville"/>
    <d v="2025-01-01T00:00:00"/>
    <d v="2025-01-01T00:00:00"/>
    <s v="Franchisee"/>
    <s v="O. PELAT - ACCORINVEST"/>
    <s v="Sophie CHOLLON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A9P2"/>
    <s v="IBIS LE MANS CENTRE GARE NORD"/>
    <x v="0"/>
    <s v="01/01/2017"/>
    <n v="90"/>
    <x v="0"/>
    <s v="39 BOULEVARD ROBERT JARRY"/>
    <s v="-"/>
    <s v="-"/>
    <x v="434"/>
    <s v="LE MANS"/>
    <s v="0.193279"/>
    <s v="47.995889"/>
    <s v="Centre ville"/>
    <d v="2025-01-01T00:00:00"/>
    <d v="2025-01-01T00:00:00"/>
    <s v="Franchisee"/>
    <s v="GROUPE VIGILIS"/>
    <s v="Bruno COQUAZ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A9U8"/>
    <s v="SAINT GENIS POUILLY GENEVE"/>
    <x v="4"/>
    <s v="06/11/2018"/>
    <n v="81"/>
    <x v="0"/>
    <s v="40 RUE HENRI DE FRANCE"/>
    <s v="TECHNOPARC DU PAYS DE GEX"/>
    <s v="-"/>
    <x v="510"/>
    <s v="SAINT GENIS POUILLY"/>
    <s v="6.028208"/>
    <s v="46.236271"/>
    <s v="Centre ville"/>
    <d v="2025-01-01T00:00:00"/>
    <d v="2025-01-01T00:00:00"/>
    <s v="Franchisee"/>
    <s v="FAMILLE DELETTRE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A9V3"/>
    <s v="IBIS PARIS GARE DE L EST 10 EME"/>
    <x v="0"/>
    <s v="01/01/1988"/>
    <n v="44"/>
    <x v="4"/>
    <s v="5 RUE SAINT LAURENT"/>
    <s v="-"/>
    <s v="-"/>
    <x v="144"/>
    <s v="PARIS"/>
    <s v="2.358467"/>
    <s v="48.875226"/>
    <s v="Centre ville"/>
    <d v="2025-01-01T00:00:00"/>
    <d v="2025-01-01T00:00:00"/>
    <s v="Franchisee"/>
    <s v="LAURENCE DONAT"/>
    <s v="Benoit DUCH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A9V4"/>
    <s v="IBIS TOULOUSE PURPAN"/>
    <x v="0"/>
    <s v="01/01/1993"/>
    <n v="87"/>
    <x v="0"/>
    <s v="1 RUE JEAN VIOLLIS"/>
    <s v="-"/>
    <s v="-"/>
    <x v="72"/>
    <s v="TOULOUSE"/>
    <s v="1.395948"/>
    <s v="43.613667"/>
    <s v="Centre ville"/>
    <d v="2025-01-01T00:00:00"/>
    <d v="2025-01-01T00:00:00"/>
    <s v="Franchisee"/>
    <s v="SOMNOO"/>
    <s v="Jean Francois SANCHEZ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A9V5"/>
    <s v="IBIS STYLES ARCACHON GUJAN M"/>
    <x v="2"/>
    <s v="01/01/2019"/>
    <n v="60"/>
    <x v="0"/>
    <s v="3 AVENUE DES LOISIRS"/>
    <s v="ROUTE DES BÉNÉVOLES"/>
    <s v="BASSIN DES LOISIRS"/>
    <x v="584"/>
    <s v="GUJAN MESTRAS"/>
    <s v="-1.097276"/>
    <s v="44.61656"/>
    <s v="Centre ville"/>
    <d v="2025-01-01T00:00:00"/>
    <d v="2025-01-01T00:00:00"/>
    <s v="Franchisee"/>
    <s v="ADALIOS"/>
    <s v="Jerome LANTERNIER"/>
    <x v="0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B032"/>
    <s v="IBIS STYLES POITIERS NORD"/>
    <x v="2"/>
    <s v="01/01/2014"/>
    <n v="58"/>
    <x v="0"/>
    <s v="215 AVENUE DE PARIS"/>
    <s v="-"/>
    <s v="-"/>
    <x v="116"/>
    <s v="POITIERS"/>
    <s v="0.348257"/>
    <s v="46.614704"/>
    <s v="Centre ville"/>
    <d v="2025-01-01T00:00:00"/>
    <d v="2025-01-01T00:00:00"/>
    <s v="Franchisee"/>
    <s v="ROEBLING CAPITAL - MERGUEB REDAOUIA"/>
    <s v="Dominique CHEVANCE"/>
    <x v="0"/>
    <n v="1.5"/>
    <n v="0.7"/>
    <s v="January"/>
    <n v="0.6"/>
    <s v="August"/>
    <n v="0.8"/>
    <x v="1"/>
    <x v="1"/>
    <s v="No"/>
    <s v="Yes"/>
    <n v="5"/>
    <s v="-"/>
    <n v="0"/>
    <n v="1"/>
    <n v="0.5"/>
    <n v="0.5"/>
    <n v="0.4"/>
    <n v="0.6"/>
  </r>
  <r>
    <s v="HB045"/>
    <s v="IBIS STYLES PARIS 16 BOULOGNE"/>
    <x v="2"/>
    <s v="01/04/2017"/>
    <n v="91"/>
    <x v="0"/>
    <s v="19 AVENUE FERDINAND BUISSON"/>
    <s v="-"/>
    <s v="-"/>
    <x v="585"/>
    <s v="BOULOGNE BILLANCOURT"/>
    <s v="2.253632"/>
    <s v="48.836473"/>
    <s v="Centre ville"/>
    <d v="2025-01-01T00:00:00"/>
    <d v="2025-01-01T00:00:00"/>
    <s v="Franchisee"/>
    <s v="VALUESTATE HOTELS BERLIN GMBH"/>
    <s v="Thomas COSTES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094"/>
    <s v="MERCURE NANTES POMMERAYE"/>
    <x v="1"/>
    <s v="01/01/1960"/>
    <n v="60"/>
    <x v="0"/>
    <s v="2 RUE BOILEAU"/>
    <s v="-"/>
    <s v="-"/>
    <x v="172"/>
    <s v="NANTES"/>
    <s v="-1.560276"/>
    <s v="47.214108"/>
    <s v="Centre ville"/>
    <d v="2025-01-01T00:00:00"/>
    <d v="2025-01-01T00:00:00"/>
    <s v="Franchisee"/>
    <s v="SERITEL"/>
    <s v="Jean-Luc RABAUL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096"/>
    <s v="MERCURE SURESNES"/>
    <x v="1"/>
    <s v="01/01/1960"/>
    <n v="47"/>
    <x v="4"/>
    <s v="30 AV GENERAL  CHARLES DE GAULLE"/>
    <s v="-"/>
    <s v="-"/>
    <x v="132"/>
    <s v="SURESNES"/>
    <s v="2.224794"/>
    <s v="48.870715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0E4"/>
    <s v="IBIS BUDGET PARIS CLICHY"/>
    <x v="4"/>
    <s v="26/04/2018"/>
    <n v="88"/>
    <x v="0"/>
    <s v="18 20 RUE PALLOY"/>
    <s v="-"/>
    <s v="-"/>
    <x v="374"/>
    <s v="PARIS"/>
    <s v="2.308291"/>
    <s v="48.902581"/>
    <s v="Centre ville"/>
    <d v="2025-01-01T00:00:00"/>
    <d v="2025-01-01T00:00:00"/>
    <s v="Managed"/>
    <s v="GROUPE JEAN TURON"/>
    <s v="Stephanie BAUM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0L8"/>
    <s v="NOVOTEL SAINT BRIEUC CENTRE"/>
    <x v="3"/>
    <s v="01/05/2017"/>
    <n v="90"/>
    <x v="0"/>
    <s v="7 ESPLANADE GEORGES POMPIDOU"/>
    <s v="-"/>
    <s v="-"/>
    <x v="520"/>
    <s v="SAINT BRIEUC"/>
    <e v="#N/A"/>
    <e v="#N/A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0"/>
    <x v="0"/>
    <s v="No"/>
    <s v="Yes"/>
    <n v="3"/>
    <n v="1"/>
    <n v="0"/>
    <n v="1"/>
    <n v="0.5"/>
    <n v="0.5"/>
    <n v="0.4"/>
    <n v="0.6"/>
  </r>
  <r>
    <s v="HB0L9"/>
    <s v="IBIS STYLES LAVAL CENTRE GARE"/>
    <x v="2"/>
    <s v="01/04/2017"/>
    <n v="50"/>
    <x v="0"/>
    <s v="8 AVENUE ROBERT BURON"/>
    <s v="-"/>
    <s v="-"/>
    <x v="586"/>
    <s v="LAVAL (FR)"/>
    <s v="-0.765531"/>
    <s v="48.071164"/>
    <s v="Centre ville"/>
    <d v="2025-01-01T00:00:00"/>
    <d v="2025-01-01T00:00:00"/>
    <s v="Franchisee"/>
    <s v="SEBASTIEN MESLIN"/>
    <s v="Jean-Francois STEBL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0M9"/>
    <s v="MERCURE LYON GENAS EUREXPO"/>
    <x v="1"/>
    <s v="01/02/2007"/>
    <n v="84"/>
    <x v="0"/>
    <s v="36 RUE ANTOINE PINAY"/>
    <s v="-"/>
    <s v="-"/>
    <x v="587"/>
    <s v="GENAS"/>
    <s v="4.987568"/>
    <s v="45.7293"/>
    <s v="Centre ville"/>
    <d v="2025-01-01T00:00:00"/>
    <d v="2025-01-01T00:00:00"/>
    <s v="Franchisee"/>
    <s v="DALOFI"/>
    <s v="Katia GARNIER"/>
    <x v="0"/>
    <n v="1.5"/>
    <n v="0.7"/>
    <s v="January"/>
    <n v="0.6"/>
    <s v="August"/>
    <n v="0.8"/>
    <x v="0"/>
    <x v="0"/>
    <s v="No"/>
    <s v="Yes"/>
    <n v="3"/>
    <n v="1"/>
    <n v="0"/>
    <n v="1"/>
    <n v="0.5"/>
    <n v="0.5"/>
    <n v="0.4"/>
    <n v="0.6"/>
  </r>
  <r>
    <s v="HB0N0"/>
    <s v="IBIS STYLES PARIS ORLY AIRPORT"/>
    <x v="2"/>
    <s v="01/01/2019"/>
    <n v="200"/>
    <x v="6"/>
    <s v="AVENUE JACQUELINE AURIOL"/>
    <s v="ORLYTECH"/>
    <s v="-"/>
    <x v="237"/>
    <s v="PARAY-VIEILLE-POSTE"/>
    <s v="2.361089"/>
    <s v="48.740997"/>
    <s v="Centre ville"/>
    <d v="2025-01-01T00:00:00"/>
    <d v="2025-01-01T00:00:00"/>
    <s v="Managed"/>
    <s v="ACCORINVEST FRANCE"/>
    <s v="Vincent GAUTIE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0X2"/>
    <s v="IBIS BUDGET GONESSE LE BOURGET"/>
    <x v="4"/>
    <s v="01/04/2019"/>
    <n v="92"/>
    <x v="0"/>
    <s v="2 RUE DE MONTSERVON"/>
    <s v="ZAC DES TULIPES"/>
    <s v="-"/>
    <x v="588"/>
    <s v="GONESSE"/>
    <s v="2.46304"/>
    <s v="48.968676"/>
    <s v="Centre ville"/>
    <d v="2025-01-01T00:00:00"/>
    <d v="2025-01-01T00:00:00"/>
    <s v="Managed"/>
    <s v="JACQUES TRESSERAS"/>
    <s v="Stephanie BAUME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B0X3"/>
    <s v="IBIS GONESSE LE BOURGET"/>
    <x v="0"/>
    <s v="01/04/2019"/>
    <n v="80"/>
    <x v="0"/>
    <s v="2 RUE DE MONTSERVON"/>
    <s v="ZAC DES TULIPES"/>
    <s v="-"/>
    <x v="588"/>
    <s v="GONESSE"/>
    <s v="2.46304"/>
    <s v="48.968676"/>
    <s v="Centre ville"/>
    <d v="2025-01-01T00:00:00"/>
    <d v="2025-01-01T00:00:00"/>
    <s v="Managed"/>
    <s v="JACQUES TRESSERAS"/>
    <s v="Stephanie BAUM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B0X6"/>
    <s v="IBIS STYLES CANET PERPIGNAN"/>
    <x v="2"/>
    <s v="17/06/1990"/>
    <n v="78"/>
    <x v="0"/>
    <s v="141 AVENUE"/>
    <s v="DES HAUTS DE CANET"/>
    <s v="-"/>
    <x v="589"/>
    <s v="CANET EN ROUSSILLON"/>
    <s v="3.013482"/>
    <s v="42.701393"/>
    <s v="Centre ville"/>
    <d v="2025-01-01T00:00:00"/>
    <d v="2025-01-01T00:00:00"/>
    <s v="Franchisee"/>
    <s v="HENRY GAUZE"/>
    <s v="Jean Francois SANCHEZ"/>
    <x v="0"/>
    <n v="1.5"/>
    <n v="0.7"/>
    <s v="January"/>
    <n v="0.6"/>
    <s v="August"/>
    <n v="0.8"/>
    <x v="0"/>
    <x v="1"/>
    <s v="No"/>
    <s v="Yes"/>
    <n v="2"/>
    <n v="1"/>
    <n v="1"/>
    <n v="1"/>
    <n v="0.5"/>
    <n v="0.5"/>
    <n v="0.4"/>
    <n v="0.6"/>
  </r>
  <r>
    <s v="HB0X8"/>
    <s v="BEZONS PARIS LA DEFENSE"/>
    <x v="2"/>
    <s v="04/03/2024"/>
    <n v="117"/>
    <x v="1"/>
    <s v="9-11 RUE ETHEL ET JULIUS ROSENBERG"/>
    <s v="-"/>
    <s v="-"/>
    <x v="590"/>
    <s v="BEZONS"/>
    <s v="2.217288"/>
    <s v="48.924011"/>
    <s v="Centre ville"/>
    <d v="2025-01-01T00:00:00"/>
    <d v="2025-01-01T00:00:00"/>
    <s v="Managed"/>
    <s v="SAS BEZONS T"/>
    <s v="Stephanie BAUME"/>
    <x v="1"/>
    <n v="1.5"/>
    <n v="0.7"/>
    <s v="January"/>
    <n v="0.6"/>
    <s v="August"/>
    <n v="0.8"/>
    <x v="0"/>
    <x v="0"/>
    <s v="No"/>
    <s v="Yes"/>
    <s v="-"/>
    <n v="1"/>
    <n v="0"/>
    <s v="-"/>
    <n v="0.5"/>
    <n v="0.5"/>
    <n v="0.4"/>
    <n v="0.6"/>
  </r>
  <r>
    <s v="HB0Y0"/>
    <s v="HOTEL MERCURE BEAUVAIS CENTRE"/>
    <x v="1"/>
    <s v="01/04/2018"/>
    <n v="83"/>
    <x v="0"/>
    <s v="1 COURS SCELLIER"/>
    <s v="-"/>
    <s v="-"/>
    <x v="8"/>
    <s v="BEAUVAIS"/>
    <s v="2.077776"/>
    <s v="49.43272"/>
    <s v="Centre ville"/>
    <d v="2025-01-01T00:00:00"/>
    <d v="2025-01-01T00:00:00"/>
    <s v="Franchisee"/>
    <s v="LUDOVIC WALOSZEK"/>
    <s v="Sophie CHOLLON"/>
    <x v="0"/>
    <n v="1.5"/>
    <n v="0.7"/>
    <s v="January"/>
    <n v="0.6"/>
    <s v="August"/>
    <n v="0.8"/>
    <x v="0"/>
    <x v="0"/>
    <s v="No"/>
    <s v="Yes"/>
    <n v="2"/>
    <n v="1"/>
    <n v="0"/>
    <s v="-"/>
    <n v="0.5"/>
    <n v="0.5"/>
    <n v="0.4"/>
    <n v="0.6"/>
  </r>
  <r>
    <s v="HB132"/>
    <s v="MERCURE PONT DE LEVALLOIS"/>
    <x v="1"/>
    <s v="18/05/1905"/>
    <n v="52"/>
    <x v="0"/>
    <s v="19 RUE PAUL VAILLANT COUTURIER"/>
    <s v="-"/>
    <s v="-"/>
    <x v="424"/>
    <s v="LEVALLOIS PERRET"/>
    <s v="2.278538"/>
    <s v="48.894045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1B8"/>
    <s v="IBIS BUDGET MLV NOISY LE GRD"/>
    <x v="4"/>
    <s v="08/06/1988"/>
    <n v="62"/>
    <x v="0"/>
    <s v="9 RUE DE L'UNIVERSITÉ"/>
    <s v="-"/>
    <s v="-"/>
    <x v="263"/>
    <s v="NOISY LE GRAND"/>
    <s v="2.550863"/>
    <s v="48.838069"/>
    <s v="Centre ville"/>
    <d v="2025-01-01T00:00:00"/>
    <d v="2025-01-01T00:00:00"/>
    <s v="Franchisee"/>
    <s v="FAMILLE ABOULKER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1B9"/>
    <s v="IBIS BUDGET LANGRES"/>
    <x v="4"/>
    <s v="02/10/2018"/>
    <n v="69"/>
    <x v="0"/>
    <s v="PLACE BEL AIR"/>
    <s v="-"/>
    <s v="-"/>
    <x v="591"/>
    <s v="LANGRES"/>
    <s v="5.330636"/>
    <s v="47.858565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B1F0"/>
    <s v="MERCURE ORLEANS PORTES SOLOGNE"/>
    <x v="1"/>
    <s v="01/04/1995"/>
    <n v="114"/>
    <x v="1"/>
    <s v="200 ALLÉE DES QUATRE VENTS"/>
    <s v="DOMAINE DE LIMÈRE"/>
    <s v="-"/>
    <x v="592"/>
    <s v="ARDON"/>
    <s v="1.912275"/>
    <s v="47.821824"/>
    <s v="Centre ville"/>
    <d v="2025-01-01T00:00:00"/>
    <d v="2025-01-01T00:00:00"/>
    <s v="Franchisee"/>
    <s v="PA-HOLDING"/>
    <s v="Bruno COQUAZ"/>
    <x v="0"/>
    <n v="1.5"/>
    <n v="0.7"/>
    <s v="January"/>
    <n v="0.6"/>
    <s v="August"/>
    <n v="0.8"/>
    <x v="0"/>
    <x v="0"/>
    <s v="No"/>
    <s v="Yes"/>
    <n v="13"/>
    <s v="-"/>
    <n v="1"/>
    <s v="-"/>
    <n v="0.5"/>
    <n v="0.5"/>
    <n v="0.4"/>
    <n v="0.6"/>
  </r>
  <r>
    <s v="HB1H6"/>
    <s v="IBIS BUDGET BORDEAUX LORMONT"/>
    <x v="4"/>
    <s v="01/09/2017"/>
    <n v="74"/>
    <x v="0"/>
    <s v="43 ALLEE DE L OISEAU DE FRANCE"/>
    <s v="-"/>
    <s v="-"/>
    <x v="593"/>
    <s v="LORMONT"/>
    <s v="-0.509879"/>
    <s v="44.882093"/>
    <s v="Centre ville"/>
    <d v="2025-01-01T00:00:00"/>
    <d v="2025-01-01T00:00:00"/>
    <s v="Franchisee"/>
    <s v="PA-HOLDING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1H7"/>
    <s v="IBIS BUDGET ANNECY POISY"/>
    <x v="4"/>
    <s v="01/12/2017"/>
    <n v="89"/>
    <x v="0"/>
    <s v="159 ROUTE DE CLOSON"/>
    <s v="-"/>
    <s v="-"/>
    <x v="594"/>
    <s v="EPAGNY METZ TESSY"/>
    <s v="6.084099"/>
    <s v="45.920474"/>
    <s v="Centre ville"/>
    <d v="2025-01-01T00:00:00"/>
    <d v="2025-01-01T00:00:00"/>
    <s v="Franchisee"/>
    <s v="PASCAL DE PINGON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1N0"/>
    <s v="IBIS STYLES GRENOBLE CROLLES"/>
    <x v="2"/>
    <s v="01/01/2001"/>
    <n v="60"/>
    <x v="0"/>
    <s v="755 AVENUE AMBROISE CROIZAT"/>
    <s v="-"/>
    <s v="-"/>
    <x v="595"/>
    <s v="CROLLES"/>
    <s v="5.889534"/>
    <s v="45.272093"/>
    <s v="Centre ville"/>
    <d v="2025-01-01T00:00:00"/>
    <d v="2025-01-01T00:00:00"/>
    <s v="Franchisee"/>
    <s v="JEAN-PHILIPPE MARTINEZ"/>
    <s v="Bello DIALLO"/>
    <x v="0"/>
    <n v="1.5"/>
    <n v="0.7"/>
    <s v="January"/>
    <n v="0.6"/>
    <s v="August"/>
    <n v="0.8"/>
    <x v="0"/>
    <x v="2"/>
    <s v="No"/>
    <s v="Yes"/>
    <n v="2"/>
    <s v="-"/>
    <n v="0"/>
    <s v="-"/>
    <n v="0.5"/>
    <n v="0.5"/>
    <n v="0.4"/>
    <n v="0.6"/>
  </r>
  <r>
    <s v="HB1P0"/>
    <s v="IBIS STYLES PARIS C VINCENNES"/>
    <x v="2"/>
    <s v="01/01/1900"/>
    <n v="41"/>
    <x v="4"/>
    <s v="96 COURS DE VINCENNES"/>
    <s v="-"/>
    <s v="-"/>
    <x v="183"/>
    <s v="PARIS"/>
    <s v="2.408013"/>
    <s v="48.846876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1R3"/>
    <s v="IBIS BUDGET DIJON CENTRE"/>
    <x v="4"/>
    <s v="01/05/2007"/>
    <n v="51"/>
    <x v="0"/>
    <s v="IBIS BUDGET CENTRE CLEMENCEAU"/>
    <s v="2 AVENUE DE MARBOTTE"/>
    <s v="-"/>
    <x v="115"/>
    <s v="DIJON"/>
    <s v="5.05188"/>
    <s v="47.329935999999996"/>
    <s v="Centre ville"/>
    <d v="2025-01-01T00:00:00"/>
    <d v="2025-01-01T00:00:00"/>
    <s v="Franchisee"/>
    <s v="FAMILLE JACQUIER"/>
    <s v="Eric MARAI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1R5"/>
    <s v="MERCURE TOULOUSE SUD"/>
    <x v="1"/>
    <s v="01/01/2015"/>
    <n v="90"/>
    <x v="0"/>
    <s v="3 AVENUE IRÈNE JOLIOT-CURIE"/>
    <s v="-"/>
    <s v="-"/>
    <x v="596"/>
    <s v="TOULOUSE"/>
    <s v="1.429818"/>
    <s v="43.555046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261"/>
    <s v="IBIS PONTORSON"/>
    <x v="0"/>
    <s v="04/04/2018"/>
    <n v="78"/>
    <x v="0"/>
    <s v="ZA LE POINT DU JOUR"/>
    <s v="-"/>
    <s v="-"/>
    <x v="597"/>
    <s v="PONTORSON"/>
    <s v="-1.543127"/>
    <s v="48.571549"/>
    <s v="Centre ville"/>
    <d v="2025-01-01T00:00:00"/>
    <d v="2025-01-01T00:00:00"/>
    <s v="Franchisee"/>
    <s v="KER HOSPITALITY"/>
    <s v="Jean-Francois STEBL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262"/>
    <s v="MERCURE SAINT HERBLAIN ZENITH"/>
    <x v="1"/>
    <s v="01/01/2009"/>
    <n v="70"/>
    <x v="0"/>
    <s v="ESPLANADE ELLA FITZGERALD"/>
    <s v="ZAC AR MOR"/>
    <s v="-"/>
    <x v="473"/>
    <s v="SAINT HERBLAIN"/>
    <s v="-1.624509"/>
    <s v="47.227961"/>
    <s v="Centre ville"/>
    <d v="2025-01-01T00:00:00"/>
    <d v="2025-01-01T00:00:00"/>
    <s v="Franchisee"/>
    <s v="STEPHAN ANDRE"/>
    <s v="Jean-Luc RABAULT"/>
    <x v="0"/>
    <n v="1.5"/>
    <n v="0.7"/>
    <s v="January"/>
    <n v="0.6"/>
    <s v="August"/>
    <n v="0.8"/>
    <x v="0"/>
    <x v="1"/>
    <s v="No"/>
    <s v="Yes"/>
    <n v="1"/>
    <n v="1"/>
    <n v="1"/>
    <s v="-"/>
    <n v="0.5"/>
    <n v="0.5"/>
    <n v="0.4"/>
    <n v="0.6"/>
  </r>
  <r>
    <s v="HB2C6"/>
    <s v="IBIS STYLES MARSEILLE"/>
    <x v="2"/>
    <s v="01/01/2009"/>
    <n v="60"/>
    <x v="0"/>
    <s v="58 CHEMIN DE VELAUX"/>
    <s v="PLAN DE CAMPAGNE"/>
    <s v="-"/>
    <x v="598"/>
    <s v="LES PENNES MIRABEAU"/>
    <s v="5.340728"/>
    <s v="43.418979"/>
    <s v="Centre ville"/>
    <d v="2025-01-01T00:00:00"/>
    <d v="2025-01-01T00:00:00"/>
    <s v="Franchisee"/>
    <s v="ROBERT TESTON"/>
    <s v="Alexandra LAUNAY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B2C7"/>
    <s v="IBIS CAHORS"/>
    <x v="0"/>
    <s v="01/04/2019"/>
    <n v="62"/>
    <x v="0"/>
    <s v="936 COTE DES ORMEAUX"/>
    <s v="-"/>
    <s v="-"/>
    <x v="599"/>
    <s v="CAHORS"/>
    <s v="1.428634"/>
    <s v="44.46695"/>
    <s v="Centre ville"/>
    <d v="2025-01-01T00:00:00"/>
    <d v="2025-01-01T00:00:00"/>
    <s v="Franchisee"/>
    <s v="BRUNO PIVAUDRAN"/>
    <s v="Jean Francois SANCHEZ"/>
    <x v="0"/>
    <n v="1.5"/>
    <n v="0.7"/>
    <s v="January"/>
    <n v="0.6"/>
    <s v="August"/>
    <n v="0.8"/>
    <x v="0"/>
    <x v="1"/>
    <s v="No"/>
    <s v="Yes"/>
    <n v="4"/>
    <s v="-"/>
    <n v="0"/>
    <n v="1"/>
    <n v="0.5"/>
    <n v="0.5"/>
    <n v="0.4"/>
    <n v="0.6"/>
  </r>
  <r>
    <s v="HB2C8"/>
    <s v="IBIS STYLES FREJUS"/>
    <x v="2"/>
    <s v="01/01/1990"/>
    <n v="55"/>
    <x v="0"/>
    <s v="990 AVENUE DU 8 MAI 1945"/>
    <s v="-"/>
    <s v="-"/>
    <x v="334"/>
    <s v="FREJUS"/>
    <s v="6.727892"/>
    <s v="43.425955"/>
    <s v="Centre ville"/>
    <d v="2025-01-01T00:00:00"/>
    <d v="2025-01-01T00:00:00"/>
    <s v="Franchisee"/>
    <s v="FAMILLE RAGEUL"/>
    <s v="Marion BOROT"/>
    <x v="0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B2C9"/>
    <s v="IBIS BUDGET CAHORS"/>
    <x v="4"/>
    <s v="01/04/2019"/>
    <n v="77"/>
    <x v="0"/>
    <s v="936 COTE DES ORMEAUX"/>
    <s v="-"/>
    <s v="-"/>
    <x v="599"/>
    <s v="CAHORS"/>
    <s v="1.428634"/>
    <s v="44.46695"/>
    <s v="Centre ville"/>
    <d v="2025-01-01T00:00:00"/>
    <d v="2025-01-01T00:00:00"/>
    <s v="Franchisee"/>
    <s v="BRUNO PIVAUDRAN"/>
    <s v="Jean Francois SANCHEZ"/>
    <x v="0"/>
    <n v="1.5"/>
    <n v="0.7"/>
    <s v="January"/>
    <n v="0.6"/>
    <s v="August"/>
    <n v="0.8"/>
    <x v="1"/>
    <x v="1"/>
    <s v="No"/>
    <s v="Yes"/>
    <s v="-"/>
    <s v="-"/>
    <n v="0"/>
    <n v="1"/>
    <n v="0.5"/>
    <n v="0.5"/>
    <n v="0.4"/>
    <n v="0.6"/>
  </r>
  <r>
    <s v="HB2E6"/>
    <s v="IBIS CLICHY CENTRE MAIRIE"/>
    <x v="0"/>
    <s v="01/01/1925"/>
    <n v="53"/>
    <x v="0"/>
    <s v="4 RUE MARCELLIN BERTHELOT"/>
    <s v="-"/>
    <s v="-"/>
    <x v="374"/>
    <s v="CLICHY"/>
    <s v="2.304072"/>
    <s v="48.903663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2G8"/>
    <s v="IBIS BUDGET MACON CRECHES"/>
    <x v="4"/>
    <s v="01/04/2017"/>
    <n v="66"/>
    <x v="0"/>
    <s v="60 RUE DU TOUR DE FRANCE"/>
    <s v="PARC HÔTELIER LES BOUCHARDES"/>
    <s v="-"/>
    <x v="117"/>
    <s v="MACON"/>
    <s v="4.791898"/>
    <s v="46.257264"/>
    <s v="Centre ville"/>
    <d v="2025-01-01T00:00:00"/>
    <d v="2025-01-01T00:00:00"/>
    <s v="Franchisee"/>
    <s v="EDITH MINGRET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2J3"/>
    <s v="IBIS STYLES DOUAI CENTRE"/>
    <x v="2"/>
    <s v="01/01/1988"/>
    <n v="59"/>
    <x v="0"/>
    <s v="2 BOULEVARD VAUBAN"/>
    <s v="-"/>
    <s v="-"/>
    <x v="189"/>
    <s v="DOUAI"/>
    <s v="3.087761"/>
    <s v="50.380396"/>
    <s v="Centre ville"/>
    <d v="2025-01-01T00:00:00"/>
    <d v="2025-01-01T00:00:00"/>
    <s v="Franchisee"/>
    <s v="FRANCOIS BERTELOOT"/>
    <s v="Muriel JACQUELINE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B2J6"/>
    <s v="IBIS BUDGET MONTPELLIER NORD"/>
    <x v="4"/>
    <s v="06/08/2019"/>
    <n v="90"/>
    <x v="0"/>
    <s v="58 RUE GEORGES DENIZOT"/>
    <s v="-"/>
    <s v="-"/>
    <x v="600"/>
    <s v="MONTPELLIER"/>
    <s v="3.8450734"/>
    <s v="43.6423258"/>
    <s v="Centre ville"/>
    <d v="2025-01-01T00:00:00"/>
    <d v="2025-01-01T00:00:00"/>
    <s v="Franchisee"/>
    <s v="ARRELIA"/>
    <s v="Jean-Claude FOUCHET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2L8"/>
    <s v="IBIS STYLES CLERMONT FERRAND"/>
    <x v="2"/>
    <s v="01/03/2018"/>
    <n v="55"/>
    <x v="0"/>
    <s v="97 AVENUE DE LA RÉPUBLIQUE"/>
    <s v="-"/>
    <s v="-"/>
    <x v="181"/>
    <s v="CLERMONT FERRAND"/>
    <s v="3.103705"/>
    <s v="45.786865"/>
    <s v="Centre ville"/>
    <d v="2025-01-01T00:00:00"/>
    <d v="2025-01-01T00:00:00"/>
    <s v="Franchisee"/>
    <s v="CELEBRITY HOTELS ET RESTAURANTS"/>
    <s v="Jean-Claude FOUCHET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B2N8"/>
    <s v="IBIS BUDGET CHATEAU THIERRY"/>
    <x v="4"/>
    <s v="01/01/2018"/>
    <n v="48"/>
    <x v="4"/>
    <s v="60 AVENUE DU GÉNÉRAL DE GAULLE"/>
    <s v="-"/>
    <s v="-"/>
    <x v="205"/>
    <s v="CHATEAU THIERRY"/>
    <s v="3.380245"/>
    <s v="49.0353"/>
    <s v="Centre ville"/>
    <d v="2025-01-01T00:00:00"/>
    <d v="2025-01-01T00:00:00"/>
    <s v="Franchisee"/>
    <s v="MY HOTELS GESTION"/>
    <s v="Thomas COSTES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2Q4"/>
    <s v="NOVOTEL SAINT ETIENNE CENTRE GAR"/>
    <x v="3"/>
    <s v="01/02/2019"/>
    <n v="77"/>
    <x v="0"/>
    <s v="5 COURS ANTOINE GUICHARD"/>
    <s v="-"/>
    <s v="-"/>
    <x v="152"/>
    <s v="SAINT ETIENNE"/>
    <s v="4.400851"/>
    <s v="45.442398"/>
    <s v="Centre ville"/>
    <d v="2025-01-01T00:00:00"/>
    <d v="2025-01-01T00:00:00"/>
    <s v="Franchisee"/>
    <s v="JEAN MARIE FRAGNE"/>
    <s v="Bello DIALLO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B2Q5"/>
    <s v="IBIS STYLES SALLANCHES"/>
    <x v="2"/>
    <s v="20/06/2018"/>
    <n v="51"/>
    <x v="0"/>
    <s v="2055 AVENUE DE GENÈVE"/>
    <s v="-"/>
    <s v="-"/>
    <x v="112"/>
    <s v="SALLANCHES"/>
    <s v="6.629668"/>
    <s v="45.9550423"/>
    <s v="Centre ville"/>
    <d v="2025-01-01T00:00:00"/>
    <d v="2025-01-01T00:00:00"/>
    <s v="Franchisee"/>
    <s v="JACQUES TCHOULFAYAN"/>
    <s v="Bello DIALLO"/>
    <x v="0"/>
    <n v="1.5"/>
    <n v="0.7"/>
    <s v="January"/>
    <n v="0.6"/>
    <s v="August"/>
    <n v="0.8"/>
    <x v="0"/>
    <x v="1"/>
    <s v="No"/>
    <s v="Yes"/>
    <s v="-"/>
    <s v="-"/>
    <n v="1"/>
    <s v="-"/>
    <n v="0.5"/>
    <n v="0.5"/>
    <n v="0.4"/>
    <n v="0.6"/>
  </r>
  <r>
    <s v="HB2Q6"/>
    <s v="IBIS BUDGET SAINT ETIENNE"/>
    <x v="4"/>
    <s v="01/02/2019"/>
    <n v="84"/>
    <x v="0"/>
    <s v="4 RUE DU PLATEAU DES GLIÈRES"/>
    <s v="-"/>
    <s v="-"/>
    <x v="152"/>
    <s v="SAINT ETIENNE"/>
    <s v="4.399914"/>
    <s v="45.441878"/>
    <s v="Centre ville"/>
    <d v="2025-01-01T00:00:00"/>
    <d v="2025-01-01T00:00:00"/>
    <s v="Franchisee"/>
    <s v="JEAN MARIE FRAGNE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2Q7"/>
    <s v="MERCURE ROCHEFORT LA CORDERIE"/>
    <x v="1"/>
    <s v="01/01/2018"/>
    <n v="51"/>
    <x v="0"/>
    <s v="10 QUAI JOSEPH BELLOT"/>
    <s v="-"/>
    <s v="-"/>
    <x v="258"/>
    <s v="ROCHEFORT"/>
    <s v="-0.9549"/>
    <s v="45.9416"/>
    <s v="Centre ville"/>
    <d v="2025-01-01T00:00:00"/>
    <d v="2025-01-01T00:00:00"/>
    <s v="Franchisee"/>
    <s v="BOULARD - PACAUD"/>
    <s v="Jerome LANTERNIER"/>
    <x v="0"/>
    <n v="1.5"/>
    <n v="0.7"/>
    <s v="January"/>
    <n v="0.6"/>
    <s v="August"/>
    <n v="0.8"/>
    <x v="0"/>
    <x v="0"/>
    <s v="No"/>
    <s v="Yes"/>
    <n v="5"/>
    <s v="-"/>
    <n v="0"/>
    <n v="1"/>
    <n v="0.5"/>
    <n v="0.5"/>
    <n v="0.4"/>
    <n v="0.6"/>
  </r>
  <r>
    <s v="HB2Q8"/>
    <s v="IBIS MONTPARNASSE CATALOGNE"/>
    <x v="0"/>
    <s v="01/01/2021"/>
    <n v="146"/>
    <x v="1"/>
    <s v="11 RUE  DU TEXEL"/>
    <s v="-"/>
    <s v="-"/>
    <x v="9"/>
    <s v="PARIS"/>
    <s v="2.3178964"/>
    <s v="48.8368205"/>
    <s v="Centre ville"/>
    <d v="2025-01-01T00:00:00"/>
    <d v="2025-01-01T00:00:00"/>
    <s v="Franchisee"/>
    <s v="FERRE HOTELS"/>
    <s v="Sophie CHOLLON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2R0"/>
    <s v="IBIS STYLES LYON BRON EUREXPO"/>
    <x v="2"/>
    <s v="01/09/1971"/>
    <n v="80"/>
    <x v="0"/>
    <s v="260 AVENUE JEAN MONNET"/>
    <s v="-"/>
    <s v="-"/>
    <x v="66"/>
    <s v="BRON"/>
    <s v="4.929742"/>
    <s v="45.72512"/>
    <s v="Centre ville"/>
    <d v="2025-01-01T00:00:00"/>
    <d v="2025-01-01T00:00:00"/>
    <s v="Franchisee"/>
    <s v="GRAPE HOSPITALITY"/>
    <s v="Katia GARNIER"/>
    <x v="0"/>
    <n v="1.5"/>
    <n v="0.7"/>
    <s v="January"/>
    <n v="0.6"/>
    <s v="August"/>
    <n v="0.8"/>
    <x v="1"/>
    <x v="0"/>
    <s v="No"/>
    <s v="Yes"/>
    <n v="2"/>
    <n v="1"/>
    <n v="0"/>
    <n v="1"/>
    <n v="0.5"/>
    <n v="0.5"/>
    <n v="0.4"/>
    <n v="0.6"/>
  </r>
  <r>
    <s v="HB2U6"/>
    <s v="IBIS STYLES PARIS METEOR"/>
    <x v="2"/>
    <s v="01/01/2018"/>
    <n v="185"/>
    <x v="3"/>
    <s v="12 AVENUE DE LA PORTE D'ITALIE"/>
    <s v="-"/>
    <s v="-"/>
    <x v="177"/>
    <s v="PARIS"/>
    <s v="2.359396"/>
    <s v="48.817008"/>
    <s v="Centre ville"/>
    <d v="2025-01-01T00:00:00"/>
    <d v="2025-01-01T00:00:00"/>
    <s v="Franchisee"/>
    <s v="ASTAN HOSPITALITY - FIOUEST"/>
    <s v="Benoit DUCH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2W8"/>
    <s v="IBIS STYLES CLERMONT FD GARE"/>
    <x v="2"/>
    <s v="01/06/1979"/>
    <n v="48"/>
    <x v="4"/>
    <s v="53 AVENUE DE L'UNION SOVIÉTIQUE"/>
    <s v="-"/>
    <s v="-"/>
    <x v="278"/>
    <s v="CLERMONT FERRAND"/>
    <s v="3.101097"/>
    <s v="45.779818"/>
    <s v="Centre ville"/>
    <d v="2025-01-01T00:00:00"/>
    <d v="2025-01-01T00:00:00"/>
    <s v="Franchisee"/>
    <s v="JEAN MARIE FRAGNE"/>
    <s v="Jean-Claude FOUCHET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B2W9"/>
    <s v="NOVOTEL BLOIS CENTRE LOIRE"/>
    <x v="3"/>
    <s v="01/01/2010"/>
    <n v="78"/>
    <x v="0"/>
    <s v="26 AVENUE DU MARECHAL MAUNOURY"/>
    <s v="-"/>
    <s v="-"/>
    <x v="176"/>
    <s v="BLOIS"/>
    <s v="1.33617"/>
    <s v="47.591677"/>
    <s v="Centre ville"/>
    <d v="2025-01-01T00:00:00"/>
    <d v="2025-01-01T00:00:00"/>
    <s v="Franchisee"/>
    <s v="FAMILLE CADIEUX"/>
    <s v="Bruno COQUAZ"/>
    <x v="0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B2X1"/>
    <s v="IBIS STYLES SCEAUX PARIS SUD"/>
    <x v="2"/>
    <s v="01/06/1986"/>
    <n v="49"/>
    <x v="4"/>
    <s v="20 AVENUE DE CAMBERWELL"/>
    <s v="-"/>
    <s v="-"/>
    <x v="601"/>
    <s v="SCEAUX"/>
    <s v="2.293741"/>
    <s v="48.778836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392"/>
    <s v="IBIS BUDGET SAINT OUEN L AUMONE"/>
    <x v="4"/>
    <s v="01/01/2001"/>
    <n v="64"/>
    <x v="0"/>
    <s v="4 ALLÉE DES TROIS CARAVELLES"/>
    <s v="-"/>
    <s v="-"/>
    <x v="602"/>
    <s v="SAINT OUEN L'AUMONE"/>
    <s v="2.134298"/>
    <s v="49.047311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B3A0"/>
    <s v="IBIS BUDGET LE MANS UNIVERSITE"/>
    <x v="4"/>
    <s v="05/10/1992"/>
    <n v="64"/>
    <x v="0"/>
    <s v="RUE HERACLITE"/>
    <s v="-"/>
    <s v="-"/>
    <x v="434"/>
    <s v="LE MANS"/>
    <s v="0.1534166999"/>
    <s v="48.0169906999"/>
    <s v="Centre ville"/>
    <d v="2025-01-01T00:00:00"/>
    <d v="2025-01-01T00:00:00"/>
    <s v="Franchisee"/>
    <s v="DALMATA HOSPITALITY"/>
    <s v="Bruno COQUAZ"/>
    <x v="5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3A1"/>
    <s v="IBIS STYLES TOULOUSE CENTRE"/>
    <x v="2"/>
    <s v="01/09/1990"/>
    <n v="105"/>
    <x v="1"/>
    <s v="5 BOULEVARD DE LA GARE"/>
    <s v="-"/>
    <s v="-"/>
    <x v="521"/>
    <s v="TOULOUSE"/>
    <s v="1.457068"/>
    <s v="43.60147"/>
    <s v="Centre ville"/>
    <d v="2025-01-01T00:00:00"/>
    <d v="2025-01-01T00:00:00"/>
    <s v="Franchisee"/>
    <s v="DALMATA HOSPITALITY"/>
    <s v="Jean Francois SANCHEZ"/>
    <x v="5"/>
    <n v="1.5"/>
    <n v="0.7"/>
    <s v="January"/>
    <n v="0.6"/>
    <s v="August"/>
    <n v="0.8"/>
    <x v="1"/>
    <x v="1"/>
    <s v="No"/>
    <s v="Yes"/>
    <n v="5"/>
    <s v="-"/>
    <n v="0"/>
    <s v="-"/>
    <n v="0.5"/>
    <n v="0.5"/>
    <n v="0.4"/>
    <n v="0.6"/>
  </r>
  <r>
    <s v="HB3A2"/>
    <s v="IBIS STYLES MASSY OPERA"/>
    <x v="2"/>
    <s v="01/01/1993"/>
    <n v="110"/>
    <x v="1"/>
    <s v="6 RUE DE L'OPÉRA"/>
    <s v="-"/>
    <s v="-"/>
    <x v="281"/>
    <s v="MASSY"/>
    <s v="2.289249"/>
    <s v="48.732498"/>
    <s v="Centre ville"/>
    <d v="2025-01-01T00:00:00"/>
    <d v="2025-01-01T00:00:00"/>
    <s v="Franchisee"/>
    <s v="DALMATA HOSPITALITY"/>
    <s v="Pierre LAGRANGE"/>
    <x v="5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B3A4"/>
    <s v="IBIS BUDGET CHILLY MAZARIN"/>
    <x v="4"/>
    <s v="01/01/1988"/>
    <n v="68"/>
    <x v="0"/>
    <s v="2 ROUTE DE LONGJUMEAU"/>
    <s v="-"/>
    <s v="-"/>
    <x v="603"/>
    <s v="CHILLY MAZARIN"/>
    <s v="2.297552"/>
    <s v="48.7112943"/>
    <s v="Centre ville"/>
    <d v="2025-01-01T00:00:00"/>
    <d v="2025-01-01T00:00:00"/>
    <s v="Franchisee"/>
    <s v="DALMATA HOSPITALITY"/>
    <s v="Pierre LAGRANGE"/>
    <x v="5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B3A6"/>
    <s v="IBIS STYLES LYON CROIX ROUSSE"/>
    <x v="2"/>
    <s v="01/01/1979"/>
    <n v="55"/>
    <x v="0"/>
    <s v="48 RUE JACQUES-LOUIS HÉNON"/>
    <s v="CROIX-ROUSSE"/>
    <s v="-"/>
    <x v="604"/>
    <s v="LYON"/>
    <s v="4.826957"/>
    <s v="45.779765"/>
    <s v="Centre ville"/>
    <d v="2025-01-01T00:00:00"/>
    <d v="2025-01-01T00:00:00"/>
    <s v="Franchisee"/>
    <s v="DALMATA HOSPITALITY"/>
    <s v="Katia GARNIER"/>
    <x v="5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3A8"/>
    <s v="IBIS BUDGET FRESNES"/>
    <x v="4"/>
    <s v="01/01/1989"/>
    <n v="84"/>
    <x v="0"/>
    <s v="30 AVENUE DE LA DIVISION LECLERC"/>
    <s v="-"/>
    <s v="-"/>
    <x v="605"/>
    <s v="FRESNES"/>
    <s v="2.321805"/>
    <s v="48.759204"/>
    <s v="Centre ville"/>
    <d v="2025-01-01T00:00:00"/>
    <d v="2025-01-01T00:00:00"/>
    <s v="Franchisee"/>
    <s v="DALMATA HOSPITALITY"/>
    <s v="Pierre LAGRANGE"/>
    <x v="5"/>
    <n v="1.5"/>
    <n v="0.7"/>
    <s v="January"/>
    <n v="0.6"/>
    <s v="August"/>
    <n v="0.8"/>
    <x v="1"/>
    <x v="1"/>
    <s v="No"/>
    <s v="Yes"/>
    <n v="2"/>
    <s v="-"/>
    <n v="0"/>
    <s v="-"/>
    <n v="0.5"/>
    <n v="0.5"/>
    <n v="0.4"/>
    <n v="0.6"/>
  </r>
  <r>
    <s v="HB3B1"/>
    <s v="IBIS MARSEILLE CENTRE"/>
    <x v="0"/>
    <s v="01/06/1998"/>
    <n v="83"/>
    <x v="0"/>
    <s v="13 RUE LAFON"/>
    <s v="-"/>
    <s v="-"/>
    <x v="527"/>
    <s v="MARSEILLE"/>
    <s v="5.381971"/>
    <s v="43.291553"/>
    <s v="Centre ville"/>
    <d v="2025-01-01T00:00:00"/>
    <d v="2025-01-01T00:00:00"/>
    <s v="Franchisee"/>
    <s v="DALMATA HOSPITALITY"/>
    <s v="Alexandra LAUNAY"/>
    <x v="5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3B5"/>
    <s v="IBIS BUDGET BOURGOIN"/>
    <x v="4"/>
    <s v="10/09/1993"/>
    <n v="61"/>
    <x v="0"/>
    <s v="21 AVENUE D'ITALIE"/>
    <s v="-"/>
    <s v="-"/>
    <x v="606"/>
    <s v="BOURGOIN-JALLIEU"/>
    <s v="5.278108"/>
    <s v="45.584705"/>
    <s v="Centre ville"/>
    <d v="2025-01-01T00:00:00"/>
    <d v="2025-01-01T00:00:00"/>
    <s v="Franchisee"/>
    <s v="DALMATA HOSPITALITY"/>
    <s v="Katia GARNIER"/>
    <x v="5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3F7"/>
    <s v="MERCURE BORDEAUX GARE ATLANTIC"/>
    <x v="1"/>
    <s v="01/07/2021"/>
    <n v="72"/>
    <x v="0"/>
    <s v="69 RUE EUGENE LE ROY"/>
    <s v="-"/>
    <s v="-"/>
    <x v="267"/>
    <s v="BORDEAUX"/>
    <s v="-0.557473"/>
    <s v="44.825893"/>
    <s v="Centre ville"/>
    <d v="2025-01-01T00:00:00"/>
    <d v="2025-01-01T00:00:00"/>
    <s v="Franchisee"/>
    <s v="AQUITAINE PROMOTION"/>
    <s v="Jerome LANTERNI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B3F9"/>
    <s v="MERCURE TOULON LA SEYNE"/>
    <x v="1"/>
    <s v="01/07/2009"/>
    <n v="96"/>
    <x v="0"/>
    <s v="1 QUAI DU 19 MARS 1962"/>
    <s v="-"/>
    <s v="-"/>
    <x v="70"/>
    <s v="LA SEYNE SUR MER"/>
    <s v="5.883576"/>
    <s v="43.1018658"/>
    <s v="Centre ville"/>
    <d v="2025-01-01T00:00:00"/>
    <d v="2025-01-01T00:00:00"/>
    <s v="Franchisee"/>
    <s v="FAMILLE BOUDHAOUIA"/>
    <s v="Alexandra LAUNAY"/>
    <x v="0"/>
    <n v="1.5"/>
    <n v="0.7"/>
    <s v="January"/>
    <n v="0.6"/>
    <s v="August"/>
    <n v="0.8"/>
    <x v="0"/>
    <x v="0"/>
    <s v="No"/>
    <s v="Yes"/>
    <n v="4"/>
    <n v="1"/>
    <n v="0"/>
    <n v="1"/>
    <n v="0.5"/>
    <n v="0.5"/>
    <n v="0.4"/>
    <n v="0.6"/>
  </r>
  <r>
    <s v="HB428"/>
    <s v="IBIS BUDGET COGNAC"/>
    <x v="4"/>
    <s v="16/03/2021"/>
    <n v="76"/>
    <x v="0"/>
    <s v="84 AVENUE D'ANGOULÊME"/>
    <s v="-"/>
    <s v="-"/>
    <x v="215"/>
    <s v="COGNAC"/>
    <s v="-0.294814"/>
    <s v="45.681779"/>
    <s v="Centre ville"/>
    <d v="2025-01-01T00:00:00"/>
    <d v="2025-01-01T00:00:00"/>
    <s v="Franchisee"/>
    <s v="DAVID PEAUDEAU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440"/>
    <s v="IBIS STYLES LYON MEYZIEU"/>
    <x v="2"/>
    <s v="01/01/2006"/>
    <n v="76"/>
    <x v="0"/>
    <s v="2 BIS RUE DU 24 AVRIL 1915"/>
    <s v="-"/>
    <s v="-"/>
    <x v="607"/>
    <s v="MEYZIEU"/>
    <s v="4.987417"/>
    <s v="45.7709763"/>
    <s v="Centre ville"/>
    <d v="2025-01-01T00:00:00"/>
    <d v="2025-01-01T00:00:00"/>
    <s v="Franchisee"/>
    <s v="DALOFI"/>
    <s v="Katia GARNIER"/>
    <x v="0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B442"/>
    <s v="NOVOTEL ANNEMASSE CENTRE"/>
    <x v="3"/>
    <s v="15/09/2020"/>
    <n v="102"/>
    <x v="1"/>
    <s v="6 ESPLANADE FRANÇOIS MITTERRAND"/>
    <s v="PLACE DE LA GARE"/>
    <s v="-"/>
    <x v="456"/>
    <s v="ANNEMASSE"/>
    <s v="6.23704"/>
    <s v="46.19897"/>
    <s v="Centre ville"/>
    <d v="2025-01-01T00:00:00"/>
    <d v="2025-01-01T00:00:00"/>
    <s v="Franchisee"/>
    <s v="SOGEPAR GROUPE"/>
    <s v="Bello DIALLO"/>
    <x v="0"/>
    <n v="1.5"/>
    <n v="0.7"/>
    <s v="January"/>
    <n v="0.6"/>
    <s v="August"/>
    <n v="0.8"/>
    <x v="0"/>
    <x v="2"/>
    <s v="No"/>
    <s v="Yes"/>
    <n v="2"/>
    <n v="1"/>
    <n v="0"/>
    <s v="-"/>
    <n v="0.5"/>
    <n v="0.5"/>
    <n v="0.4"/>
    <n v="0.6"/>
  </r>
  <r>
    <s v="HB4A1"/>
    <s v="IBIS STYLES MONTARGIS ARBORIA"/>
    <x v="2"/>
    <s v="01/12/2012"/>
    <n v="60"/>
    <x v="0"/>
    <s v="PARC D'ACTIVITÉS ARBORIA"/>
    <s v="805 AVENUE DES PLATANES"/>
    <s v="-"/>
    <x v="608"/>
    <s v="LES PANNES"/>
    <s v="2.672981"/>
    <s v="47.9956622"/>
    <s v="Centre ville"/>
    <d v="2025-01-01T00:00:00"/>
    <d v="2025-01-01T00:00:00"/>
    <s v="Franchisee"/>
    <s v="JEAN MARIE FRAGNE"/>
    <s v="Bruno COQUAZ"/>
    <x v="0"/>
    <n v="1.5"/>
    <n v="0.7"/>
    <s v="January"/>
    <n v="0.6"/>
    <s v="August"/>
    <n v="0.8"/>
    <x v="0"/>
    <x v="0"/>
    <s v="No"/>
    <s v="Yes"/>
    <n v="4"/>
    <s v="-"/>
    <n v="0"/>
    <n v="1"/>
    <n v="0.5"/>
    <n v="0.5"/>
    <n v="0.4"/>
    <n v="0.6"/>
  </r>
  <r>
    <s v="HB4A3"/>
    <s v="RESIDENCE LA DEFENSE GDE ARCHE"/>
    <x v="1"/>
    <s v="02/09/1991"/>
    <n v="63"/>
    <x v="0"/>
    <s v="20 ESPLANADE CHARLES DE GAULLE"/>
    <s v="-"/>
    <s v="-"/>
    <x v="265"/>
    <s v="LA DEFENSE"/>
    <s v="2.223648"/>
    <s v="48.895195"/>
    <s v="Centre ville"/>
    <d v="2025-01-01T00:00:00"/>
    <d v="2025-01-01T00:00:00"/>
    <s v="Franchisee"/>
    <s v="GROUPE COVIVIO"/>
    <s v="Florence DEBRUYNE"/>
    <x v="0"/>
    <n v="1.5"/>
    <n v="0.7"/>
    <s v="January"/>
    <n v="0.6"/>
    <s v="August"/>
    <n v="0.8"/>
    <x v="1"/>
    <x v="1"/>
    <s v="No"/>
    <s v="Yes"/>
    <n v="4"/>
    <s v="-"/>
    <n v="0"/>
    <s v="-"/>
    <n v="0.5"/>
    <n v="0.5"/>
    <n v="0.4"/>
    <n v="0.6"/>
  </r>
  <r>
    <s v="HB4C3"/>
    <s v="MERCURE CHANTILLY"/>
    <x v="1"/>
    <s v="01/07/1990"/>
    <n v="200"/>
    <x v="6"/>
    <s v="ROUTE D APREMONT"/>
    <s v="-"/>
    <s v="-"/>
    <x v="609"/>
    <s v="CHANTILLY"/>
    <s v="2.489843"/>
    <s v="49.201336"/>
    <s v="Centre ville"/>
    <d v="2025-01-01T00:00:00"/>
    <d v="2025-01-01T00:00:00"/>
    <s v="Franchisee"/>
    <s v="ATYPIO"/>
    <s v="Pierre LAGRANGE"/>
    <x v="0"/>
    <n v="1.5"/>
    <n v="0.7"/>
    <s v="January"/>
    <n v="0.6"/>
    <s v="August"/>
    <n v="0.8"/>
    <x v="0"/>
    <x v="0"/>
    <s v="No"/>
    <s v="Yes"/>
    <n v="21"/>
    <n v="1"/>
    <n v="0"/>
    <n v="2"/>
    <n v="0.5"/>
    <n v="0.5"/>
    <n v="0.4"/>
    <n v="0.6"/>
  </r>
  <r>
    <s v="HB4F3"/>
    <s v="NOVOTEL BELLEVILLE PARIS 20"/>
    <x v="3"/>
    <s v="11/05/2021"/>
    <n v="119"/>
    <x v="1"/>
    <s v="64 74 BOULEVARD DE BELLEVILLE"/>
    <s v="-"/>
    <s v="-"/>
    <x v="305"/>
    <s v="PARIS"/>
    <s v="2.380138"/>
    <s v="48.869519"/>
    <s v="Centre ville"/>
    <d v="2025-01-01T00:00:00"/>
    <d v="2025-01-01T00:00:00"/>
    <s v="Managed"/>
    <s v="AINA HOSPITALITY"/>
    <s v="Olivier BRISSARD"/>
    <x v="0"/>
    <n v="1.5"/>
    <n v="0.7"/>
    <s v="January"/>
    <n v="0.6"/>
    <s v="August"/>
    <n v="0.8"/>
    <x v="0"/>
    <x v="2"/>
    <s v="No"/>
    <s v="Yes"/>
    <s v="-"/>
    <n v="1"/>
    <n v="0"/>
    <s v="-"/>
    <n v="0.5"/>
    <n v="0.5"/>
    <n v="0.4"/>
    <n v="0.6"/>
  </r>
  <r>
    <s v="HB4Q8"/>
    <s v="NOVOTEL DEAUVILLE PLAGE"/>
    <x v="3"/>
    <s v="01/10/2017"/>
    <n v="100"/>
    <x v="1"/>
    <s v="17 BOULEVARD EUGÈNE CORNUCHÉ"/>
    <s v="-"/>
    <s v="-"/>
    <x v="149"/>
    <s v="DEAUVILLE"/>
    <s v="0.074210999"/>
    <s v="49.3624"/>
    <s v="Centre ville"/>
    <d v="2025-01-01T00:00:00"/>
    <d v="2025-01-01T00:00:00"/>
    <s v="Franchisee"/>
    <s v="GERARD BERTOUT"/>
    <s v="Ronan LE MEUR"/>
    <x v="0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B4T1"/>
    <s v="IBIS BUDGET MONTPELLIER EXPOS"/>
    <x v="4"/>
    <s v="01/12/2020"/>
    <n v="77"/>
    <x v="0"/>
    <s v="121 AVENUE JACQUELINE AURIOL"/>
    <s v="ZONE AEROPORTUAIRE MONTPELLIER MEDITERRANEE"/>
    <s v="-"/>
    <x v="610"/>
    <s v="MAUGUIO"/>
    <s v="3.9488802672"/>
    <s v="43.5800052125"/>
    <s v="Centre ville"/>
    <d v="2025-01-01T00:00:00"/>
    <d v="2025-01-01T00:00:00"/>
    <s v="Franchisee"/>
    <s v="ARRELIA"/>
    <s v="Jean-Claude FOUCHET"/>
    <x v="0"/>
    <n v="1.5"/>
    <n v="0.7"/>
    <s v="January"/>
    <n v="0.6"/>
    <s v="August"/>
    <n v="0.8"/>
    <x v="1"/>
    <x v="0"/>
    <s v="No"/>
    <s v="Yes"/>
    <s v="-"/>
    <s v="-"/>
    <n v="0"/>
    <s v="-"/>
    <n v="0.5"/>
    <n v="0.5"/>
    <n v="0.4"/>
    <n v="0.6"/>
  </r>
  <r>
    <s v="HB4T2"/>
    <s v="IBIS STYLES MONTPELLIER EXPOS"/>
    <x v="2"/>
    <s v="01/12/2020"/>
    <n v="74"/>
    <x v="0"/>
    <s v="121 AVENUE JACQUELINE AURIOL"/>
    <s v="ZONE AEROPORTUAIRE MONTPELLIER MEDITERRANEE"/>
    <s v="-"/>
    <x v="610"/>
    <s v="MAUGUIO"/>
    <s v="3.9488802672"/>
    <s v="43.5800052125"/>
    <s v="Centre ville"/>
    <d v="2025-01-01T00:00:00"/>
    <d v="2025-01-01T00:00:00"/>
    <s v="Franchisee"/>
    <s v="ARRELIA"/>
    <s v="Jean-Claude FOUCHET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B4Y4"/>
    <s v="IBIS STYLES NANCY LAXOU"/>
    <x v="2"/>
    <s v="01/01/1970"/>
    <n v="100"/>
    <x v="1"/>
    <s v="10 RUE DE LA SAÔNE"/>
    <s v="-"/>
    <s v="-"/>
    <x v="46"/>
    <s v="NANCY"/>
    <s v="6.131323"/>
    <s v="48.696867"/>
    <s v="Centre ville"/>
    <d v="2025-01-01T00:00:00"/>
    <d v="2025-01-01T00:00:00"/>
    <s v="Franchisee"/>
    <s v="CHRISTIAN PIERREL"/>
    <s v="Christophe RUQUEBOEUCHE"/>
    <x v="0"/>
    <n v="1.5"/>
    <n v="0.7"/>
    <s v="January"/>
    <n v="0.6"/>
    <s v="August"/>
    <n v="0.8"/>
    <x v="0"/>
    <x v="0"/>
    <s v="No"/>
    <s v="Yes"/>
    <n v="7"/>
    <s v="-"/>
    <n v="0"/>
    <s v="-"/>
    <n v="0.5"/>
    <n v="0.5"/>
    <n v="0.4"/>
    <n v="0.6"/>
  </r>
  <r>
    <s v="HB523"/>
    <s v="IBIS BUDGET LYON EST BEYNOST"/>
    <x v="4"/>
    <s v="31/12/2018"/>
    <n v="40"/>
    <x v="4"/>
    <s v="ALLEE PRE CAILLAT"/>
    <s v="-"/>
    <s v="-"/>
    <x v="139"/>
    <s v="BEYNOST"/>
    <s v="4.994724"/>
    <s v="45.822661"/>
    <s v="Centre ville"/>
    <d v="2025-01-01T00:00:00"/>
    <d v="2025-01-01T00:00:00"/>
    <s v="Franchisee"/>
    <s v="FAMILLE PEYER"/>
    <s v="Katia GA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524"/>
    <s v="IBIS STYLES AEROPORT MULHOUSE"/>
    <x v="2"/>
    <s v="01/01/1983"/>
    <n v="63"/>
    <x v="0"/>
    <s v="RUE DU 19 NOVEMBRE"/>
    <s v="-"/>
    <s v="-"/>
    <x v="611"/>
    <s v="BLOTZHEIM"/>
    <s v="7.500027"/>
    <s v="47.606626"/>
    <s v="Centre ville"/>
    <d v="2025-01-01T00:00:00"/>
    <d v="2025-01-01T00:00:00"/>
    <s v="Franchisee"/>
    <s v="HOQUET - LECRIVAIN"/>
    <s v="Eric MARAIS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535"/>
    <s v="MERCURE ROSCOFF BORD DE MER"/>
    <x v="1"/>
    <s v="02/02/1954"/>
    <n v="40"/>
    <x v="4"/>
    <s v="27 PLACE LACAZE DUTHIERS"/>
    <s v="-"/>
    <s v="-"/>
    <x v="216"/>
    <s v="ROSCOFF"/>
    <s v="-3.985163"/>
    <s v="48.726656"/>
    <s v="Centre ville"/>
    <d v="2025-01-01T00:00:00"/>
    <d v="2025-01-01T00:00:00"/>
    <s v="Franchisee"/>
    <s v="KERSTONE"/>
    <s v="Jean-Francois STEBLE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561"/>
    <s v="MERCURE SAINT OMER CENTRE GARE"/>
    <x v="1"/>
    <s v="28/05/1986"/>
    <n v="74"/>
    <x v="0"/>
    <s v="2 PLACE DU VAINQUAI"/>
    <s v="-"/>
    <s v="-"/>
    <x v="133"/>
    <s v="SAINT OMER"/>
    <s v="2.262943"/>
    <s v="50.751331"/>
    <s v="Centre ville"/>
    <d v="2025-01-01T00:00:00"/>
    <d v="2025-01-01T00:00:00"/>
    <s v="Franchisee"/>
    <s v="FAMILLE DUCROCQ"/>
    <s v="Muriel JACQUELINE"/>
    <x v="0"/>
    <n v="1.5"/>
    <n v="0.7"/>
    <s v="January"/>
    <n v="0.6"/>
    <s v="August"/>
    <n v="0.8"/>
    <x v="0"/>
    <x v="0"/>
    <s v="No"/>
    <s v="Yes"/>
    <n v="1"/>
    <n v="1"/>
    <n v="0"/>
    <s v="-"/>
    <n v="0.5"/>
    <n v="0.5"/>
    <n v="0.4"/>
    <n v="0.6"/>
  </r>
  <r>
    <s v="HB5D8"/>
    <s v="IBIS STYLES PARIS MAGENTA"/>
    <x v="2"/>
    <s v="01/01/1970"/>
    <n v="51"/>
    <x v="0"/>
    <s v="4 RUE SIBOUR"/>
    <s v="-"/>
    <s v="-"/>
    <x v="144"/>
    <s v="PARIS"/>
    <s v="2.3582936"/>
    <s v="48.8751474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5E7"/>
    <s v="IBIS STYLES ARRAS CENTRE"/>
    <x v="2"/>
    <s v="01/08/2020"/>
    <n v="91"/>
    <x v="0"/>
    <s v="22 AVENUE MICHONNEAU 62000 ARRAS"/>
    <s v="-"/>
    <s v="-"/>
    <x v="266"/>
    <s v="ARRAS"/>
    <s v="2.7838"/>
    <s v="50.2953"/>
    <s v="Centre ville"/>
    <d v="2025-01-01T00:00:00"/>
    <d v="2025-01-01T00:00:00"/>
    <s v="Franchisee"/>
    <s v="FAMILLE PAWLETTA"/>
    <s v="Muriel JACQUELINE"/>
    <x v="0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B5E8"/>
    <s v="IBIS STYLES DREUX"/>
    <x v="2"/>
    <s v="01/11/2021"/>
    <n v="60"/>
    <x v="0"/>
    <s v="10 RUE DU BOIS DES FOSSES"/>
    <s v="-"/>
    <s v="-"/>
    <x v="612"/>
    <s v="DREUX"/>
    <s v="1.36887"/>
    <s v="48.7313"/>
    <s v="Centre ville"/>
    <d v="2025-01-01T00:00:00"/>
    <d v="2025-01-01T00:00:00"/>
    <s v="Franchisee"/>
    <s v="THIERRY THAUVIN"/>
    <s v="Thomas COSTES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B5I0"/>
    <s v="NOVOTEL MEGEVE MONT BLANC"/>
    <x v="3"/>
    <s v="01/12/2020"/>
    <n v="92"/>
    <x v="0"/>
    <s v="1306 ROUTE NATIONALE"/>
    <s v="LE DOMAINE DE MEZTIVA"/>
    <s v="-"/>
    <x v="613"/>
    <s v="MEGEVE"/>
    <s v="6.6190552711"/>
    <s v="45.8591651916"/>
    <s v="Centre ville"/>
    <d v="2025-01-01T00:00:00"/>
    <d v="2025-01-01T00:00:00"/>
    <s v="Franchisee"/>
    <s v="FAMILLE DELETTRE"/>
    <s v="Bello DIALLO"/>
    <x v="0"/>
    <n v="1.5"/>
    <n v="0.7"/>
    <s v="January"/>
    <n v="0.6"/>
    <s v="August"/>
    <n v="0.8"/>
    <x v="0"/>
    <x v="0"/>
    <s v="No"/>
    <s v="Yes"/>
    <n v="3"/>
    <n v="2"/>
    <n v="0"/>
    <n v="1"/>
    <n v="0.5"/>
    <n v="0.5"/>
    <n v="0.4"/>
    <n v="0.6"/>
  </r>
  <r>
    <s v="HB5Q6"/>
    <s v="NOVOTEL ANGERS CENTRE GARE"/>
    <x v="3"/>
    <s v="12/02/2020"/>
    <n v="86"/>
    <x v="0"/>
    <s v="1 RUE AUGUSTE GAUTIER"/>
    <s v="-"/>
    <s v="-"/>
    <x v="86"/>
    <s v="ANGERS"/>
    <s v="-0.5599"/>
    <s v="47.46469"/>
    <s v="Centre ville"/>
    <d v="2025-01-01T00:00:00"/>
    <d v="2025-01-01T00:00:00"/>
    <s v="Franchisee"/>
    <s v="KERSTONE"/>
    <s v="Jean-Francois STEBLER"/>
    <x v="0"/>
    <n v="1.5"/>
    <n v="0.7"/>
    <s v="January"/>
    <n v="0.6"/>
    <s v="August"/>
    <n v="0.8"/>
    <x v="0"/>
    <x v="1"/>
    <s v="No"/>
    <s v="Yes"/>
    <n v="3"/>
    <n v="1"/>
    <n v="0"/>
    <s v="-"/>
    <n v="0.5"/>
    <n v="0.5"/>
    <n v="0.4"/>
    <n v="0.6"/>
  </r>
  <r>
    <s v="HB5R0"/>
    <s v="IBIS STYLES AMIENS CENTRE"/>
    <x v="2"/>
    <s v="02/09/2019"/>
    <n v="105"/>
    <x v="1"/>
    <s v="5 PASSAGE AUGUSTE PERRET"/>
    <s v="PARKING : RUE FATTON"/>
    <s v="-"/>
    <x v="490"/>
    <s v="AMIENS"/>
    <s v="2.304996"/>
    <s v="49.891422"/>
    <s v="Centre ville"/>
    <d v="2025-01-01T00:00:00"/>
    <d v="2025-01-01T00:00:00"/>
    <s v="Franchisee"/>
    <s v="ALBORAN"/>
    <s v="Muriel JACQUELINE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B5U8"/>
    <s v="IBIS STYLES PARIS ROMAINVILLE"/>
    <x v="2"/>
    <s v="01/09/2019"/>
    <n v="120"/>
    <x v="1"/>
    <s v="52 AVENUE GASTON ROUSSEL"/>
    <s v="-"/>
    <s v="-"/>
    <x v="614"/>
    <s v="ROMAINVILLE"/>
    <s v="2.4290801027"/>
    <s v="48.8945560776"/>
    <s v="Centre ville"/>
    <d v="2025-01-01T00:00:00"/>
    <d v="2025-01-01T00:00:00"/>
    <s v="Franchisee"/>
    <s v="SUITCASE HOSPITALITY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5V9"/>
    <s v="MERCURE FIGEAC VIGUIER DU ROY"/>
    <x v="1"/>
    <s v="01/05/2019"/>
    <n v="33"/>
    <x v="4"/>
    <s v="52 RUE EMILE ZOLA"/>
    <s v="-"/>
    <s v="-"/>
    <x v="615"/>
    <s v="FIGEAC"/>
    <s v="2.036439"/>
    <s v="44.6088"/>
    <s v="Centre ville"/>
    <d v="2025-01-01T00:00:00"/>
    <d v="2025-01-01T00:00:00"/>
    <s v="Franchisee"/>
    <s v="FAMILLE PUJOL"/>
    <s v="Jean Francois SANCHEZ"/>
    <x v="0"/>
    <n v="1.5"/>
    <n v="0.7"/>
    <s v="January"/>
    <n v="0.6"/>
    <s v="August"/>
    <n v="0.8"/>
    <x v="0"/>
    <x v="0"/>
    <s v="No"/>
    <s v="Yes"/>
    <n v="2"/>
    <s v="-"/>
    <n v="1"/>
    <n v="1"/>
    <n v="0.5"/>
    <n v="0.5"/>
    <n v="0.4"/>
    <n v="0.6"/>
  </r>
  <r>
    <s v="HB5X9"/>
    <s v="IBIS STYLES THONON LES BAINS"/>
    <x v="2"/>
    <s v="01/10/2020"/>
    <n v="72"/>
    <x v="0"/>
    <s v="16 TER AVENUE DE LA GRANGETTE"/>
    <s v="-"/>
    <s v="-"/>
    <x v="179"/>
    <s v="THONON LES BAINS"/>
    <s v="6.466195"/>
    <s v="46.362763"/>
    <s v="Centre ville"/>
    <d v="2025-01-01T00:00:00"/>
    <d v="2025-01-01T00:00:00"/>
    <s v="Franchisee"/>
    <s v="LAURENCE DONAT"/>
    <s v="Bello DIALLO"/>
    <x v="0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B5Y0"/>
    <s v="IBIS STYLES MORLAIX"/>
    <x v="2"/>
    <s v="01/01/2009"/>
    <n v="43"/>
    <x v="4"/>
    <s v="400 RUE CAROLINE AIGLE"/>
    <s v="-"/>
    <s v="-"/>
    <x v="616"/>
    <s v="MORLAIX"/>
    <s v="-3.809301"/>
    <s v="48.597195"/>
    <s v="Centre ville"/>
    <d v="2025-01-01T00:00:00"/>
    <d v="2025-01-01T00:00:00"/>
    <s v="Franchisee"/>
    <s v="LAURENT JONCOURT"/>
    <s v="Jean-Francois STEBLER"/>
    <x v="1"/>
    <n v="1.5"/>
    <n v="0.7"/>
    <s v="January"/>
    <n v="0.6"/>
    <s v="August"/>
    <n v="0.8"/>
    <x v="0"/>
    <x v="1"/>
    <s v="No"/>
    <s v="Yes"/>
    <n v="2"/>
    <s v="-"/>
    <n v="0"/>
    <n v="1"/>
    <n v="0.5"/>
    <n v="0.5"/>
    <n v="0.4"/>
    <n v="0.6"/>
  </r>
  <r>
    <s v="HB5Y1"/>
    <s v="IBIS STYLES LIMOGES CENTRE"/>
    <x v="2"/>
    <s v="15/02/2021"/>
    <n v="96"/>
    <x v="0"/>
    <s v="43 AVENUE DE LA REVOLUTION"/>
    <s v="-"/>
    <s v="-"/>
    <x v="169"/>
    <s v="LIMOGES"/>
    <s v="1.260531"/>
    <s v="45.823444"/>
    <s v="Centre ville"/>
    <d v="2025-01-01T00:00:00"/>
    <d v="2025-01-01T00:00:00"/>
    <s v="Franchisee"/>
    <s v="THIERRY MINSE"/>
    <s v="Dominique CHEVANCE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5Z5"/>
    <s v="MERCURE MARSEILLE BOMPARD"/>
    <x v="1"/>
    <s v="01/01/1920"/>
    <n v="55"/>
    <x v="0"/>
    <s v="2 RUE DES FLOTS BLEUS"/>
    <s v="-"/>
    <s v="-"/>
    <x v="175"/>
    <s v="MARSEILLE"/>
    <s v="5.3595869"/>
    <s v="43.2813179"/>
    <s v="Centre ville"/>
    <d v="2025-01-01T00:00:00"/>
    <d v="2025-01-01T00:00:00"/>
    <s v="Franchisee"/>
    <s v="CASTELLET HOSPITALITY"/>
    <s v="Alexandra LAUNAY"/>
    <x v="0"/>
    <n v="1.5"/>
    <n v="0.7"/>
    <s v="January"/>
    <n v="0.6"/>
    <s v="August"/>
    <n v="0.8"/>
    <x v="0"/>
    <x v="0"/>
    <s v="No"/>
    <s v="Yes"/>
    <n v="1"/>
    <s v="-"/>
    <n v="0"/>
    <n v="1"/>
    <n v="0.5"/>
    <n v="0.5"/>
    <n v="0.4"/>
    <n v="0.6"/>
  </r>
  <r>
    <s v="HB5Z6"/>
    <s v="IBIS STYLES GENNEVILLIERS"/>
    <x v="2"/>
    <s v="01/01/2006"/>
    <n v="85"/>
    <x v="0"/>
    <s v="6 AVENUE DU GENERAL DE GAULLE"/>
    <s v="-"/>
    <s v="-"/>
    <x v="298"/>
    <s v="GENNEVILLIERS"/>
    <s v="2.303949"/>
    <s v="48.933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5Z7"/>
    <s v="IBIS STYLES BOBIGNY CENTRE"/>
    <x v="2"/>
    <s v="01/01/1992"/>
    <n v="80"/>
    <x v="0"/>
    <s v="302 AV PAUL-VAILLANT-COUTURIER"/>
    <s v="-"/>
    <s v="-"/>
    <x v="578"/>
    <s v="BOBIGNY"/>
    <s v="2.4567"/>
    <s v="48.9064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B5Z9"/>
    <s v="IBIS STYLES ANCENIS CENTRE"/>
    <x v="2"/>
    <s v="01/01/1990"/>
    <n v="56"/>
    <x v="0"/>
    <s v="119 BOULEVARD DU DOCTEUR MOUTEL"/>
    <s v="-"/>
    <s v="-"/>
    <x v="617"/>
    <s v="ANCENIS"/>
    <s v="-1.177511"/>
    <s v="47.371225"/>
    <s v="Centre ville"/>
    <d v="2025-01-01T00:00:00"/>
    <d v="2025-01-01T00:00:00"/>
    <s v="Franchisee"/>
    <s v="MONGI BAALOUCH"/>
    <s v="Jean-Luc RABAULT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625"/>
    <s v="IBIS STYLES PARIS GARE DE LYON"/>
    <x v="2"/>
    <s v="01/01/1900"/>
    <n v="49"/>
    <x v="4"/>
    <s v="52 AVENUE LEDRU ROLLIN"/>
    <s v="-"/>
    <s v="-"/>
    <x v="183"/>
    <s v="PARIS"/>
    <s v="2.372"/>
    <s v="48.8481"/>
    <s v="Centre ville"/>
    <d v="2025-01-01T00:00:00"/>
    <d v="2025-01-01T00:00:00"/>
    <s v="Franchisee"/>
    <s v="COFIGAD - EME"/>
    <s v="Benoit DUCHE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B632"/>
    <s v="IBIS BUDGET BEAUVAIS AEROPORT"/>
    <x v="4"/>
    <s v="01/04/2020"/>
    <n v="78"/>
    <x v="0"/>
    <s v="53 RUE DU MOULIN"/>
    <s v="-"/>
    <s v="-"/>
    <x v="8"/>
    <s v="BEAUVAIS"/>
    <s v="2.118611"/>
    <s v="49.463333"/>
    <s v="Centre ville"/>
    <d v="2025-01-01T00:00:00"/>
    <d v="2025-01-01T00:00:00"/>
    <s v="Franchisee"/>
    <s v="LUDOVIC WALOSZEK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668"/>
    <s v="IBIS BUDGET PERIGUEUX BOULAZAC"/>
    <x v="4"/>
    <s v="01/01/2001"/>
    <n v="58"/>
    <x v="0"/>
    <s v="2 RUE D'AREZZO"/>
    <s v="AVENUE MARCEL PAUL"/>
    <s v="-"/>
    <x v="529"/>
    <s v="PERIGUEUX"/>
    <s v="0.763568"/>
    <s v="45.182607"/>
    <s v="Centre ville"/>
    <d v="2025-01-01T00:00:00"/>
    <d v="2025-01-01T00:00:00"/>
    <s v="Franchisee"/>
    <s v="JEROME GUIMBAUD"/>
    <s v="Dominique CHEVANC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678"/>
    <s v="IBIS BUDGET REIMS PARC DES EXPOS"/>
    <x v="4"/>
    <s v="23/08/2019"/>
    <n v="62"/>
    <x v="0"/>
    <s v="2 RUE GABRIEL VOISIN"/>
    <s v="-"/>
    <s v="-"/>
    <x v="540"/>
    <s v="REIMS"/>
    <s v="4.0701"/>
    <s v="49.236"/>
    <s v="Centre ville"/>
    <d v="2025-01-01T00:00:00"/>
    <d v="2025-01-01T00:00:00"/>
    <s v="Franchisee"/>
    <s v="GRAPE HOSPITALITY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6A1"/>
    <s v="IBIS STYLES VALENCIENNES"/>
    <x v="2"/>
    <s v="31/05/2021"/>
    <n v="47"/>
    <x v="4"/>
    <s v="RUE GAY LUSSAC"/>
    <s v="-"/>
    <s v="-"/>
    <x v="536"/>
    <s v="PETITE FORET"/>
    <s v="3.4728"/>
    <s v="50.377653"/>
    <s v="Centre ville"/>
    <d v="2025-01-01T00:00:00"/>
    <d v="2025-01-01T00:00:00"/>
    <s v="Franchisee"/>
    <s v="FAMILLE DEWAVRIN"/>
    <s v="Muriel JACQUELINE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B6A3"/>
    <s v="IBIS BUDGET STRASBOURG REPUB"/>
    <x v="4"/>
    <s v="31/10/2020"/>
    <n v="97"/>
    <x v="0"/>
    <s v="23A RUE OBERLIN"/>
    <s v="-"/>
    <s v="-"/>
    <x v="68"/>
    <s v="STRASBOURG"/>
    <s v="7.754599"/>
    <s v="48.591522"/>
    <s v="Centre ville"/>
    <d v="2025-01-01T00:00:00"/>
    <d v="2025-01-01T00:00:00"/>
    <s v="Franchisee"/>
    <s v="MILLION - CHOREIN"/>
    <s v="Christophe RUQUEBOEUCHE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6E2"/>
    <s v="IBIS STYLES LE TOUQUET"/>
    <x v="2"/>
    <s v="01/01/2021"/>
    <n v="51"/>
    <x v="0"/>
    <s v="221 ALLÉE DU NOUVEAU SIÈCLE"/>
    <s v="-"/>
    <s v="-"/>
    <x v="618"/>
    <s v="LE TOUQUET-PARIS-PLAGE"/>
    <s v="1.613551"/>
    <s v="50.510665"/>
    <s v="Centre ville"/>
    <d v="2025-01-01T00:00:00"/>
    <d v="2025-01-01T00:00:00"/>
    <s v="Franchisee"/>
    <s v="PASCAL &amp; BENJAMIN FERRE"/>
    <s v="Muriel JACQUELINE"/>
    <x v="1"/>
    <n v="1.5"/>
    <n v="0.7"/>
    <s v="January"/>
    <n v="0.6"/>
    <s v="August"/>
    <n v="0.8"/>
    <x v="0"/>
    <x v="1"/>
    <s v="No"/>
    <s v="Yes"/>
    <n v="7"/>
    <s v="-"/>
    <n v="0"/>
    <s v="-"/>
    <n v="0.5"/>
    <n v="0.5"/>
    <n v="0.4"/>
    <n v="0.6"/>
  </r>
  <r>
    <s v="HB6E3"/>
    <s v="MERCURE LE TOUQUET"/>
    <x v="1"/>
    <s v="01/01/2021"/>
    <n v="60"/>
    <x v="0"/>
    <s v="221 ALLÉE DU NOUVEAU SIÈCLE"/>
    <s v="-"/>
    <s v="-"/>
    <x v="618"/>
    <s v="LE TOUQUET-PARIS-PLAGE"/>
    <s v="1.613551"/>
    <s v="50.510665"/>
    <s v="Centre ville"/>
    <d v="2025-01-01T00:00:00"/>
    <d v="2025-01-01T00:00:00"/>
    <s v="Franchisee"/>
    <s v="PASCAL &amp; BENJAMIN FERRE"/>
    <s v="Muriel JACQUELINE"/>
    <x v="1"/>
    <n v="1.5"/>
    <n v="0.7"/>
    <s v="January"/>
    <n v="0.6"/>
    <s v="August"/>
    <n v="0.8"/>
    <x v="0"/>
    <x v="0"/>
    <s v="No"/>
    <s v="Yes"/>
    <n v="7"/>
    <s v="-"/>
    <n v="1"/>
    <n v="1"/>
    <n v="0.5"/>
    <n v="0.5"/>
    <n v="0.4"/>
    <n v="0.6"/>
  </r>
  <r>
    <s v="HB6F6"/>
    <s v="MERCURE AVIGNON GARE TGV"/>
    <x v="1"/>
    <s v="01/10/2004"/>
    <n v="113"/>
    <x v="1"/>
    <s v="2 RUE MÈRE TÉRÉSA"/>
    <s v="-"/>
    <s v="-"/>
    <x v="42"/>
    <s v="AVIGNON"/>
    <s v="4.784743"/>
    <s v="43.928696"/>
    <s v="Centre ville"/>
    <d v="2025-01-01T00:00:00"/>
    <d v="2025-01-01T00:00:00"/>
    <s v="Franchisee"/>
    <s v="GROUPE BOISSET"/>
    <s v="Jean-Claude FOUCHET"/>
    <x v="0"/>
    <n v="1.5"/>
    <n v="0.7"/>
    <s v="January"/>
    <n v="0.6"/>
    <s v="August"/>
    <n v="0.8"/>
    <x v="0"/>
    <x v="0"/>
    <s v="No"/>
    <s v="Yes"/>
    <n v="8"/>
    <n v="2"/>
    <n v="1"/>
    <n v="2"/>
    <n v="0.5"/>
    <n v="0.5"/>
    <n v="0.4"/>
    <n v="0.6"/>
  </r>
  <r>
    <s v="HB6F9"/>
    <s v="MERCURE PARIS GARE DE LYON"/>
    <x v="1"/>
    <s v="01/01/1920"/>
    <n v="49"/>
    <x v="4"/>
    <s v="3 RUE PARROT"/>
    <s v="-"/>
    <s v="-"/>
    <x v="183"/>
    <s v="PARIS"/>
    <s v="2.372834"/>
    <s v="48.846898"/>
    <s v="Centre ville"/>
    <d v="2025-01-01T00:00:00"/>
    <d v="2025-01-01T00:00:00"/>
    <s v="Franchisee"/>
    <s v="DALOFI"/>
    <s v="Benoit DUCH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6G1"/>
    <s v="IBIS STYLES ROUEN RIVE GAUCHE"/>
    <x v="2"/>
    <s v="01/01/2019"/>
    <n v="72"/>
    <x v="0"/>
    <s v="55 AVENUE DE LA LIBERATION"/>
    <s v="-"/>
    <s v="-"/>
    <x v="619"/>
    <s v="ROUEN"/>
    <s v="1.06848"/>
    <s v="49.4253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6G2"/>
    <s v="IBIS BUDGET ROUEN RIVE GAUCHE"/>
    <x v="4"/>
    <s v="01/01/2019"/>
    <n v="68"/>
    <x v="0"/>
    <s v="55 AVENUE DE LA LIBERATION"/>
    <s v="-"/>
    <s v="-"/>
    <x v="619"/>
    <s v="ROUEN"/>
    <s v="1.06848"/>
    <s v="49.4253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6G5"/>
    <s v="IBIS STYLES LE TREPORT"/>
    <x v="2"/>
    <s v="01/03/2019"/>
    <n v="40"/>
    <x v="4"/>
    <s v="PARC DES GRANDS MARAIS"/>
    <s v="AVENUE PIERRE ET MARIE CURIE"/>
    <s v="-"/>
    <x v="388"/>
    <s v="MERS LES BAINS"/>
    <s v="1.407682"/>
    <s v="50.060283"/>
    <s v="Centre ville"/>
    <d v="2025-01-01T00:00:00"/>
    <d v="2025-01-01T00:00:00"/>
    <s v="Franchisee"/>
    <s v="BOISSEE FINANCES"/>
    <s v="Ronan LE MEUR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6I9"/>
    <s v="IBIS ANNECY CRAN GEVRIER"/>
    <x v="0"/>
    <s v="10/04/1986"/>
    <n v="60"/>
    <x v="0"/>
    <s v="38 AVENUE DE LA REPUBLIQUE"/>
    <s v="CRAN GEVRIER"/>
    <s v="-"/>
    <x v="620"/>
    <s v="ANNECY"/>
    <s v="6.107669"/>
    <s v="45.907525"/>
    <s v="Centre ville"/>
    <d v="2025-01-01T00:00:00"/>
    <d v="2025-01-01T00:00:00"/>
    <s v="Franchisee"/>
    <s v="APARTNERS CAPITAL"/>
    <s v="Bello DIALLO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6J1"/>
    <s v="IBIS STYLES CASTELNAUDARY"/>
    <x v="2"/>
    <s v="01/03/2021"/>
    <n v="69"/>
    <x v="0"/>
    <s v="100 AVENUE GERARD ROUVIERE"/>
    <s v="-"/>
    <s v="-"/>
    <x v="514"/>
    <s v="CASTELNAUDARY"/>
    <s v="1.9530891882"/>
    <s v="43.2935199064"/>
    <s v="Centre ville"/>
    <d v="2025-01-01T00:00:00"/>
    <d v="2025-01-01T00:00:00"/>
    <s v="Franchisee"/>
    <s v="GUY SPANGHERO"/>
    <s v="Jean Francois SANCHEZ"/>
    <x v="0"/>
    <n v="1.5"/>
    <n v="0.7"/>
    <s v="January"/>
    <n v="0.6"/>
    <s v="August"/>
    <n v="0.8"/>
    <x v="0"/>
    <x v="0"/>
    <s v="No"/>
    <s v="Yes"/>
    <n v="3"/>
    <s v="-"/>
    <n v="1"/>
    <s v="-"/>
    <n v="0.5"/>
    <n v="0.5"/>
    <n v="0.4"/>
    <n v="0.6"/>
  </r>
  <r>
    <s v="HB6J2"/>
    <s v="IBIS BUDGET NANCY LAXOU"/>
    <x v="4"/>
    <s v="01/03/2022"/>
    <n v="69"/>
    <x v="0"/>
    <s v="1 RUE DU VAIR"/>
    <s v="-"/>
    <s v="-"/>
    <x v="46"/>
    <s v="NANCY"/>
    <s v="6.124166"/>
    <s v="48.695277"/>
    <s v="Centre ville"/>
    <d v="2025-01-01T00:00:00"/>
    <d v="2025-01-01T00:00:00"/>
    <s v="Franchisee"/>
    <s v="FAMILLE GIRARD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6S6"/>
    <s v="NOVOTEL PARIS VAL DE FONTENAY"/>
    <x v="3"/>
    <s v="01/01/2018"/>
    <n v="90"/>
    <x v="0"/>
    <s v="2 AVENUE VAL DE FONTENAY"/>
    <s v="-"/>
    <s v="-"/>
    <x v="621"/>
    <s v="FONTENAY-SOUS-BOIS"/>
    <s v="2.487381"/>
    <s v="48.853428"/>
    <s v="Centre ville"/>
    <d v="2025-01-01T00:00:00"/>
    <d v="2025-01-01T00:00:00"/>
    <s v="Franchisee"/>
    <s v="FERRE HOTELS"/>
    <s v="Sophie CHOLLON"/>
    <x v="1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6T8"/>
    <s v="NOVOTEL LA DEFENSE NANTERRE"/>
    <x v="3"/>
    <s v="01/04/2025"/>
    <n v="170"/>
    <x v="3"/>
    <s v="14 RUE DES 3 FONTANOT"/>
    <s v="-"/>
    <s v="-"/>
    <x v="622"/>
    <s v="NANTERRE"/>
    <s v="2.219383"/>
    <s v="48.8963544"/>
    <s v="Centre ville"/>
    <d v="2025-01-01T00:00:00"/>
    <d v="2025-01-01T00:00:00"/>
    <s v="Franchisee"/>
    <s v="FERRE HOTELS"/>
    <s v="Sophie CHOLLON"/>
    <x v="1"/>
    <n v="1.5"/>
    <n v="0.7"/>
    <s v="January"/>
    <n v="0.6"/>
    <s v="August"/>
    <n v="0.8"/>
    <x v="0"/>
    <x v="0"/>
    <s v="No"/>
    <s v="Yes"/>
    <n v="10"/>
    <n v="1"/>
    <n v="0"/>
    <s v="-"/>
    <n v="0.5"/>
    <n v="0.5"/>
    <n v="0.4"/>
    <n v="0.6"/>
  </r>
  <r>
    <s v="HB6T9"/>
    <s v="NOVOTEL ORLEANS CENTRE"/>
    <x v="3"/>
    <s v="01/01/2023"/>
    <n v="72"/>
    <x v="0"/>
    <s v="83 BOULEVARD ALEXANDRE MARTIN"/>
    <s v="-"/>
    <s v="-"/>
    <x v="623"/>
    <s v="ORLEANS"/>
    <s v="1.90619"/>
    <s v="47.90602"/>
    <s v="Centre ville"/>
    <d v="2025-01-01T00:00:00"/>
    <d v="2025-01-01T00:00:00"/>
    <s v="Franchisee"/>
    <s v="FERRE HOTELS"/>
    <s v="Bruno COQUAZ"/>
    <x v="1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B6W5"/>
    <s v="IBIS STYLES ST BRIEUC PLERIN"/>
    <x v="2"/>
    <s v="01/01/1980"/>
    <n v="44"/>
    <x v="4"/>
    <s v="33 RUE DES CHENES"/>
    <s v="-"/>
    <s v="-"/>
    <x v="624"/>
    <s v="SAINT BRIEUC"/>
    <s v="-2.7609103918"/>
    <s v="48.5339917353"/>
    <s v="Centre ville"/>
    <d v="2025-01-01T00:00:00"/>
    <d v="2025-01-01T00:00:00"/>
    <s v="Franchisee"/>
    <s v="FERRE HOTELS"/>
    <s v="Jean-Francois STEBLER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6W6"/>
    <s v="IBIS STYLES PARIS GD LYON TGV"/>
    <x v="2"/>
    <s v="01/01/1900"/>
    <n v="44"/>
    <x v="4"/>
    <s v="28 BIS BOULEVARD DIDEROT"/>
    <s v="-"/>
    <s v="-"/>
    <x v="183"/>
    <s v="PARIS"/>
    <s v="2.375546"/>
    <s v="48.845977"/>
    <s v="Centre ville"/>
    <d v="2025-01-01T00:00:00"/>
    <d v="2025-01-01T00:00:00"/>
    <s v="Franchisee"/>
    <s v="COFIGAD - EME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6X6"/>
    <s v="MERCURE DUNKERQUE CENTRE GARE"/>
    <x v="1"/>
    <s v="01/01/2022"/>
    <n v="89"/>
    <x v="0"/>
    <s v="81 RUE FLORENCE ARTHAUD"/>
    <s v="-"/>
    <s v="-"/>
    <x v="465"/>
    <s v="DUNKIRK"/>
    <s v="2.369146"/>
    <s v="51.033828"/>
    <s v="Centre ville"/>
    <d v="2025-01-01T00:00:00"/>
    <d v="2025-01-01T00:00:00"/>
    <s v="Franchisee"/>
    <s v="FAMILLE DUCROCQ"/>
    <s v="Muriel JACQUELINE"/>
    <x v="0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B6Z0"/>
    <s v="MERCURE METZ CATHEDRALE"/>
    <x v="1"/>
    <s v="14/07/1789"/>
    <n v="61"/>
    <x v="0"/>
    <s v="3 RUE DES CLERCS"/>
    <s v="-"/>
    <s v="-"/>
    <x v="91"/>
    <s v="METZ"/>
    <e v="#N/A"/>
    <e v="#N/A"/>
    <s v="Centre ville"/>
    <d v="2025-01-01T00:00:00"/>
    <d v="2025-01-01T00:00:00"/>
    <s v="Franchisee"/>
    <s v="VALUESTATE HOTELS BERLIN GMBH"/>
    <s v="Christophe RUQUEBOEUCHE"/>
    <x v="0"/>
    <n v="1.5"/>
    <n v="0.7"/>
    <s v="January"/>
    <n v="0.6"/>
    <s v="August"/>
    <n v="0.8"/>
    <x v="0"/>
    <x v="1"/>
    <s v="No"/>
    <s v="Yes"/>
    <s v="-"/>
    <n v="1"/>
    <n v="0"/>
    <s v="-"/>
    <n v="0.5"/>
    <n v="0.5"/>
    <n v="0.4"/>
    <n v="0.6"/>
  </r>
  <r>
    <s v="HB718"/>
    <s v="IBIS BUDGET MONT DE MARSAN"/>
    <x v="4"/>
    <s v="20/02/2022"/>
    <n v="68"/>
    <x v="0"/>
    <s v="1765 AVENUE DU MARÉCHAL JUIN"/>
    <s v="-"/>
    <s v="-"/>
    <x v="625"/>
    <s v="MONT DE MARSAN"/>
    <s v="-0.47079"/>
    <s v="43.90794"/>
    <s v="Centre ville"/>
    <d v="2025-01-01T00:00:00"/>
    <d v="2025-01-01T00:00:00"/>
    <s v="Franchisee"/>
    <s v="FRANCISCO CERRAJERO"/>
    <s v="Jerome LANTERNIER"/>
    <x v="0"/>
    <n v="1.5"/>
    <n v="0.7"/>
    <s v="January"/>
    <n v="0.6"/>
    <s v="August"/>
    <n v="0.8"/>
    <x v="1"/>
    <x v="1"/>
    <s v="No"/>
    <s v="Yes"/>
    <n v="1"/>
    <s v="-"/>
    <n v="0"/>
    <s v="-"/>
    <n v="0.5"/>
    <n v="0.5"/>
    <n v="0.4"/>
    <n v="0.6"/>
  </r>
  <r>
    <s v="HB736"/>
    <s v="IBIS TOURS CENTRE GIRAUDEAU"/>
    <x v="0"/>
    <s v="01/01/1989"/>
    <n v="48"/>
    <x v="4"/>
    <s v="247 RUE GIRAUDEAU"/>
    <s v="-"/>
    <s v="-"/>
    <x v="259"/>
    <s v="TOURS"/>
    <s v="0.6774098"/>
    <s v="47.3784835"/>
    <s v="Centre ville"/>
    <d v="2025-01-01T00:00:00"/>
    <d v="2025-01-01T00:00:00"/>
    <s v="Franchisee"/>
    <s v="FERRE HOTELS"/>
    <s v="Bruno COQUAZ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B742"/>
    <s v="IBIS B-JALLIEU MEDIPOLE"/>
    <x v="0"/>
    <s v="01/10/2022"/>
    <n v="80"/>
    <x v="0"/>
    <s v="4 AVENUE DU MÉDIPÔLE"/>
    <s v="-"/>
    <s v="-"/>
    <x v="626"/>
    <s v="BOURGOIN-JALLIEU"/>
    <s v="5.242042"/>
    <s v="45.596706"/>
    <s v="Centre ville"/>
    <d v="2025-01-01T00:00:00"/>
    <d v="2025-01-01T00:00:00"/>
    <s v="Franchisee"/>
    <s v="JEAN-FRANCOIS MOUGHAMIAN - LAURENT GAGET"/>
    <s v="Katia GARNIER"/>
    <x v="0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B743"/>
    <s v="IBIS LUNEL PETITE CAMARGUE"/>
    <x v="0"/>
    <s v="01/01/2020"/>
    <n v="83"/>
    <x v="0"/>
    <s v="200 RUE ZAC PETITE CAMARGUE"/>
    <s v="-"/>
    <s v="-"/>
    <x v="627"/>
    <s v="LUNEL"/>
    <s v="4.14458"/>
    <s v="43.6907"/>
    <s v="Centre ville"/>
    <d v="2025-01-01T00:00:00"/>
    <d v="2025-01-01T00:00:00"/>
    <s v="Franchisee"/>
    <s v="FAMILLE PHILIP"/>
    <s v="Jean-Claude FOUCHET"/>
    <x v="0"/>
    <n v="1.5"/>
    <n v="0.7"/>
    <s v="January"/>
    <n v="0.6"/>
    <s v="August"/>
    <n v="0.8"/>
    <x v="0"/>
    <x v="0"/>
    <s v="No"/>
    <s v="Yes"/>
    <n v="5"/>
    <n v="1"/>
    <n v="0"/>
    <n v="1"/>
    <n v="0.5"/>
    <n v="0.5"/>
    <n v="0.4"/>
    <n v="0.6"/>
  </r>
  <r>
    <s v="HB7A3"/>
    <s v="IBIS STYLES PARIS HIPPODROME"/>
    <x v="2"/>
    <s v="01/01/1990"/>
    <n v="126"/>
    <x v="1"/>
    <s v="1 ALLÉE EDME LHEUREUX"/>
    <s v="-"/>
    <s v="-"/>
    <x v="628"/>
    <s v="JOINVILLE-LE-PONT"/>
    <s v="2.4619305"/>
    <s v="48.8184395"/>
    <s v="Centre ville"/>
    <d v="2025-01-01T00:00:00"/>
    <d v="2025-01-01T00:00:00"/>
    <s v="Franchisee"/>
    <s v="JADE HOSPITALITY"/>
    <s v="Thomas COSTES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7A8"/>
    <s v="MERCURE AEROPORT MULHOUSE"/>
    <x v="1"/>
    <s v="05/12/2015"/>
    <n v="123"/>
    <x v="1"/>
    <s v="3 RUE DE L'INDUSTRIE"/>
    <s v="-"/>
    <s v="-"/>
    <x v="611"/>
    <s v="BLOTZHEIM"/>
    <s v="7.5022"/>
    <s v="47.6082"/>
    <s v="Centre ville"/>
    <d v="2025-01-01T00:00:00"/>
    <d v="2025-01-01T00:00:00"/>
    <s v="Franchisee"/>
    <s v="PATRICK HARMUTH"/>
    <s v="Eric MARAIS"/>
    <x v="0"/>
    <n v="1.5"/>
    <n v="0.7"/>
    <s v="January"/>
    <n v="0.6"/>
    <s v="August"/>
    <n v="0.8"/>
    <x v="0"/>
    <x v="0"/>
    <s v="No"/>
    <s v="Yes"/>
    <n v="3"/>
    <n v="1"/>
    <n v="1"/>
    <n v="1"/>
    <n v="0.5"/>
    <n v="0.5"/>
    <n v="0.4"/>
    <n v="0.6"/>
  </r>
  <r>
    <s v="HB7B5"/>
    <s v="IBIS CLAMART PARIS VELIZY"/>
    <x v="0"/>
    <s v="01/01/2009"/>
    <n v="97"/>
    <x v="0"/>
    <s v="350 AVENUE GENERAL DE GAULLE"/>
    <s v="-"/>
    <s v="-"/>
    <x v="579"/>
    <s v="CLAMART"/>
    <s v="2.2443889"/>
    <s v="48.7828506"/>
    <s v="Centre ville"/>
    <d v="2025-01-01T00:00:00"/>
    <d v="2025-01-01T00:00:00"/>
    <s v="Franchisee"/>
    <s v="SOHOMA"/>
    <s v="Pierre LAGRANG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B7M0"/>
    <s v="IBIS STYLES PORTO VECCHIO"/>
    <x v="2"/>
    <s v="01/01/2023"/>
    <n v="63"/>
    <x v="0"/>
    <s v="AVENUE DE BASTIA"/>
    <s v="PORETTA DU LAVONIEDDU"/>
    <s v="-"/>
    <x v="629"/>
    <s v="PORTO-VECCHIO"/>
    <s v="9.27812"/>
    <s v="41.607249"/>
    <s v="Centre ville"/>
    <d v="2025-01-01T00:00:00"/>
    <d v="2025-01-01T00:00:00"/>
    <s v="Franchisee"/>
    <s v="JEAN-NOEL MARCELLESI"/>
    <s v="Alexandra LAUNAY"/>
    <x v="1"/>
    <n v="1.5"/>
    <n v="0.7"/>
    <s v="January"/>
    <n v="0.6"/>
    <s v="August"/>
    <n v="0.8"/>
    <x v="0"/>
    <x v="1"/>
    <s v="No"/>
    <s v="Yes"/>
    <n v="1"/>
    <n v="1"/>
    <n v="0"/>
    <n v="1"/>
    <n v="0.5"/>
    <n v="0.5"/>
    <n v="0.4"/>
    <n v="0.6"/>
  </r>
  <r>
    <s v="HB7N0"/>
    <s v="IBIS BUDGET NANGY ANNEMASSE"/>
    <x v="4"/>
    <s v="22/06/2021"/>
    <n v="76"/>
    <x v="0"/>
    <s v="168 ROUTE D ANNECY"/>
    <s v="-"/>
    <s v="-"/>
    <x v="630"/>
    <s v="NANGY"/>
    <s v="6.3159217101"/>
    <s v="46.1397442637"/>
    <s v="Centre ville"/>
    <d v="2025-01-01T00:00:00"/>
    <d v="2025-01-01T00:00:00"/>
    <s v="Franchisee"/>
    <s v="KER HOSPITALITY"/>
    <s v="Bello DIALLO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7P3"/>
    <s v="IBIS STYLES RENNES CESSON"/>
    <x v="2"/>
    <s v="15/08/2009"/>
    <n v="64"/>
    <x v="0"/>
    <s v="1 TER RUE DE FOUGÈRES"/>
    <s v="-"/>
    <s v="-"/>
    <x v="82"/>
    <s v="CESSON SEVIGNE"/>
    <s v="-1.634431"/>
    <s v="48.132507"/>
    <s v="Centre ville"/>
    <d v="2025-01-01T00:00:00"/>
    <d v="2025-01-01T00:00:00"/>
    <s v="Franchisee"/>
    <s v="JACQUES OMNES"/>
    <s v="Jean-Francois STEBLER"/>
    <x v="0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B7R6"/>
    <s v="IBIS STYLES DIJON SUD"/>
    <x v="2"/>
    <s v="13/06/2021"/>
    <n v="60"/>
    <x v="0"/>
    <s v="9 RUE DE BEAUREGARD"/>
    <s v="-"/>
    <s v="-"/>
    <x v="631"/>
    <s v="DIJON"/>
    <s v="5.043089"/>
    <s v="47.2712634"/>
    <s v="Centre ville"/>
    <d v="2025-01-01T00:00:00"/>
    <d v="2025-01-01T00:00:00"/>
    <s v="Franchisee"/>
    <s v="FAMILLE BOISSELIER"/>
    <s v="Eric MARAIS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B7S9"/>
    <s v="MERCURE PARIS PASTEUR"/>
    <x v="1"/>
    <s v="01/01/1995"/>
    <n v="66"/>
    <x v="0"/>
    <s v="10 RUE GAGER GABILLOT"/>
    <s v="-"/>
    <s v="-"/>
    <x v="173"/>
    <s v="PARIS"/>
    <s v="2.306393"/>
    <s v="48.837623"/>
    <s v="Centre ville"/>
    <d v="2025-01-01T00:00:00"/>
    <d v="2025-01-01T00:00:00"/>
    <s v="Franchisee"/>
    <s v="SERITEL"/>
    <s v="Benoit DUCHE"/>
    <x v="0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B803"/>
    <s v="MERCURE LOUDENVIELLE"/>
    <x v="1"/>
    <s v="01/06/2020"/>
    <n v="62"/>
    <x v="0"/>
    <s v="CHEMIN DU RIOUTOR"/>
    <s v="-"/>
    <s v="-"/>
    <x v="632"/>
    <s v="LOUDENVIELLE"/>
    <s v="0.410019"/>
    <s v="42.798779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n v="4"/>
    <n v="1"/>
    <n v="1"/>
    <n v="1"/>
    <n v="0.5"/>
    <n v="0.5"/>
    <n v="0.4"/>
    <n v="0.6"/>
  </r>
  <r>
    <s v="HB808"/>
    <s v="IBIS STYLES ALBERTVILLE"/>
    <x v="2"/>
    <s v="26/02/2021"/>
    <n v="68"/>
    <x v="0"/>
    <s v="23 AVENUE DES CHASSEURS ALPINS"/>
    <s v="-"/>
    <s v="-"/>
    <x v="341"/>
    <s v="ALBERTVILLE"/>
    <s v="6.3895060718"/>
    <s v="45.664122524"/>
    <s v="Centre ville"/>
    <d v="2025-01-01T00:00:00"/>
    <d v="2025-01-01T00:00:00"/>
    <s v="Franchisee"/>
    <s v="BASILE LE PEUCH"/>
    <s v="Bello DIALLO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815"/>
    <s v="IBIS STYLES LA ROCHE SUR YON"/>
    <x v="2"/>
    <s v="01/01/2022"/>
    <n v="38"/>
    <x v="4"/>
    <s v="140 RUE DU CLAIR BOCAGE"/>
    <s v="-"/>
    <s v="-"/>
    <x v="211"/>
    <s v="MOUILLERON LE CAPTIF"/>
    <s v="-1.430465"/>
    <s v="46.710116"/>
    <s v="Centre ville"/>
    <d v="2025-01-01T00:00:00"/>
    <d v="2025-01-01T00:00:00"/>
    <s v="Franchisee"/>
    <s v="AGP HOTELS"/>
    <s v="Jean-Luc RABAULT"/>
    <x v="0"/>
    <n v="1.5"/>
    <n v="0.7"/>
    <s v="January"/>
    <n v="0.6"/>
    <s v="August"/>
    <n v="0.8"/>
    <x v="0"/>
    <x v="2"/>
    <s v="No"/>
    <s v="Yes"/>
    <n v="7"/>
    <s v="-"/>
    <n v="0"/>
    <n v="1"/>
    <n v="0.5"/>
    <n v="0.5"/>
    <n v="0.4"/>
    <n v="0.6"/>
  </r>
  <r>
    <s v="HB816"/>
    <s v="IBIS STYLES FOUGERES"/>
    <x v="2"/>
    <s v="01/06/2021"/>
    <n v="56"/>
    <x v="0"/>
    <s v="28 RUE DE BRETAGNE"/>
    <s v="-"/>
    <s v="-"/>
    <x v="633"/>
    <s v="FOUGERES"/>
    <s v="-1.1727"/>
    <s v="48.34407"/>
    <s v="Centre ville"/>
    <d v="2025-01-01T00:00:00"/>
    <d v="2025-01-01T00:00:00"/>
    <s v="Franchisee"/>
    <s v="MORGAN HUMBERT"/>
    <s v="Jean-Francois STEBLER"/>
    <x v="0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B825"/>
    <s v="MERCURE BELFORT CENTRE"/>
    <x v="1"/>
    <s v="01/01/2015"/>
    <n v="76"/>
    <x v="0"/>
    <s v="2A AVENUE JEAN MOULIN"/>
    <s v="-"/>
    <s v="-"/>
    <x v="285"/>
    <s v="BELFORT"/>
    <s v="6.8630973539842444"/>
    <s v="47.64478052815042"/>
    <s v="Centre ville"/>
    <d v="2025-01-01T00:00:00"/>
    <d v="2025-01-01T00:00:00"/>
    <s v="Franchisee"/>
    <s v="FAMILLE KESSER"/>
    <s v="Eric MARAIS"/>
    <x v="1"/>
    <n v="1.5"/>
    <n v="0.7"/>
    <s v="January"/>
    <n v="0.6"/>
    <s v="August"/>
    <n v="0.8"/>
    <x v="0"/>
    <x v="1"/>
    <s v="No"/>
    <s v="Yes"/>
    <n v="3"/>
    <n v="1"/>
    <n v="1"/>
    <s v="-"/>
    <n v="0.5"/>
    <n v="0.5"/>
    <n v="0.4"/>
    <n v="0.6"/>
  </r>
  <r>
    <s v="HB899"/>
    <s v="IBIS STYLES SAINT NAZAIRE"/>
    <x v="2"/>
    <s v="01/11/2021"/>
    <n v="58"/>
    <x v="0"/>
    <s v="2 BOULEVARD DE L'ATLANTIQUE"/>
    <s v="-"/>
    <s v="-"/>
    <x v="634"/>
    <s v="SAINT NAZAIRE"/>
    <s v="-2.2103038012"/>
    <s v="47.2855574976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B8A5"/>
    <s v="IBIS BUDGET SAINT NAZAIRE"/>
    <x v="4"/>
    <s v="01/11/2021"/>
    <n v="65"/>
    <x v="0"/>
    <s v="2 BOULEVARD DE L'ATLANTIQUE"/>
    <s v="-"/>
    <s v="-"/>
    <x v="634"/>
    <s v="SAINT NAZAIRE"/>
    <s v="-2.21004228585"/>
    <s v="47.2855211084"/>
    <s v="Centre ville"/>
    <d v="2025-01-01T00:00:00"/>
    <d v="2025-01-01T00:00:00"/>
    <s v="Franchisee"/>
    <s v="S.I.H."/>
    <s v="Jean-Luc RABAULT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B8B1"/>
    <s v="IBIS MARSEILLE MARIGNANE"/>
    <x v="0"/>
    <s v="01/04/2022"/>
    <n v="72"/>
    <x v="0"/>
    <s v="TECHNOPARC DES FLORIDES"/>
    <s v="ZAC DE LA PALUN"/>
    <s v="-"/>
    <x v="635"/>
    <s v="MARIGNANE"/>
    <s v="5.204562"/>
    <s v="43.40713"/>
    <s v="Centre ville"/>
    <d v="2025-01-01T00:00:00"/>
    <d v="2025-01-01T00:00:00"/>
    <s v="Franchisee"/>
    <s v="FARID LAGHZAL"/>
    <s v="Alexandra LAUNAY"/>
    <x v="1"/>
    <n v="1.5"/>
    <n v="0.7"/>
    <s v="January"/>
    <n v="0.6"/>
    <s v="August"/>
    <n v="0.8"/>
    <x v="0"/>
    <x v="1"/>
    <s v="No"/>
    <s v="Yes"/>
    <n v="2"/>
    <n v="1"/>
    <n v="0"/>
    <s v="-"/>
    <n v="0.5"/>
    <n v="0.5"/>
    <n v="0.4"/>
    <n v="0.6"/>
  </r>
  <r>
    <s v="HB8C4"/>
    <s v="IBIS BUDGET LA ROCHELLE"/>
    <x v="4"/>
    <s v="14/06/2022"/>
    <n v="76"/>
    <x v="0"/>
    <s v="27 RUE DE PÉRIGNY"/>
    <s v="-"/>
    <s v="-"/>
    <x v="88"/>
    <s v="LA ROCHELLE"/>
    <s v="-1.140724"/>
    <s v="46.157096"/>
    <s v="Centre ville"/>
    <d v="2025-01-01T00:00:00"/>
    <d v="2025-01-01T00:00:00"/>
    <s v="Franchisee"/>
    <s v="BOISSEE FINANCES"/>
    <s v="Jerome LANTERNIER"/>
    <x v="0"/>
    <n v="1.5"/>
    <n v="0.7"/>
    <s v="January"/>
    <n v="0.6"/>
    <s v="August"/>
    <n v="0.8"/>
    <x v="0"/>
    <x v="1"/>
    <s v="No"/>
    <s v="Yes"/>
    <s v="-"/>
    <s v="-"/>
    <n v="0"/>
    <n v="1"/>
    <n v="0.5"/>
    <n v="0.5"/>
    <n v="0.4"/>
    <n v="0.6"/>
  </r>
  <r>
    <s v="HB8E1"/>
    <s v="IBIS STYLES CONTRES"/>
    <x v="2"/>
    <s v="01/03/2021"/>
    <n v="61"/>
    <x v="0"/>
    <s v="3 IMPASSE VAUROBERT"/>
    <s v="CONTRES"/>
    <s v="-"/>
    <x v="636"/>
    <s v="CONTRES"/>
    <s v="1.436701"/>
    <s v="47.432244"/>
    <s v="Centre ville"/>
    <d v="2025-01-01T00:00:00"/>
    <d v="2025-01-01T00:00:00"/>
    <s v="Franchisee"/>
    <s v="FAMILLE BOULAY - AXIONCOM"/>
    <s v="Bruno COQUAZ"/>
    <x v="0"/>
    <n v="1.5"/>
    <n v="0.7"/>
    <s v="January"/>
    <n v="0.6"/>
    <s v="August"/>
    <n v="0.8"/>
    <x v="0"/>
    <x v="1"/>
    <s v="No"/>
    <s v="Yes"/>
    <n v="1"/>
    <s v="-"/>
    <n v="0"/>
    <n v="1"/>
    <n v="0.5"/>
    <n v="0.5"/>
    <n v="0.4"/>
    <n v="0.6"/>
  </r>
  <r>
    <s v="HB8E4"/>
    <s v="MERCURE BREST CENTRE PORT"/>
    <x v="1"/>
    <s v="28/06/2022"/>
    <n v="75"/>
    <x v="0"/>
    <s v="45 RUE JEAN MARIE LE BRIS"/>
    <s v="-"/>
    <s v="-"/>
    <x v="249"/>
    <s v="BREST"/>
    <s v="-4.482172"/>
    <s v="48.384292"/>
    <s v="Centre ville"/>
    <d v="2025-01-01T00:00:00"/>
    <d v="2025-01-01T00:00:00"/>
    <s v="Franchisee"/>
    <s v="KERSTONE"/>
    <s v="Jean-Luc RABAULT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8G5"/>
    <s v="MERCURE PARIS OPERA LAFAYETTE"/>
    <x v="1"/>
    <s v="01/01/1910"/>
    <n v="40"/>
    <x v="4"/>
    <s v="7 RUE DE TREVISE"/>
    <s v="-"/>
    <s v="-"/>
    <x v="197"/>
    <s v="PARIS"/>
    <s v="2.3449796"/>
    <s v="48.8729123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8G7"/>
    <s v="IBIS STYLES PARIS OPERA LAFAYE"/>
    <x v="2"/>
    <s v="01/01/1910"/>
    <n v="42"/>
    <x v="4"/>
    <s v="3 RUE DE TRÉVISE"/>
    <s v="-"/>
    <s v="-"/>
    <x v="197"/>
    <s v="PARIS"/>
    <s v="2.3449274"/>
    <s v="48.8726954"/>
    <s v="Centre ville"/>
    <d v="2025-01-01T00:00:00"/>
    <d v="2025-01-01T00:00:00"/>
    <s v="Franchisee"/>
    <s v="OREA MANAGEMENT"/>
    <s v="Pierre LAGRANG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8H6"/>
    <s v="MERCURE MONTPARNASSE TGV"/>
    <x v="1"/>
    <s v="01/01/2004"/>
    <n v="352"/>
    <x v="2"/>
    <s v="40 RUE DU COMMANDANT RENÉ MOUCHOTTE"/>
    <s v="-"/>
    <s v="-"/>
    <x v="637"/>
    <s v="PARIS"/>
    <s v="2.318716"/>
    <s v="48.8375841"/>
    <s v="Centre ville"/>
    <d v="2025-01-01T00:00:00"/>
    <d v="2025-01-01T00:00:00"/>
    <s v="Franchisee"/>
    <s v="FERRE HOTELS"/>
    <s v="Sophie CHOLLON"/>
    <x v="0"/>
    <n v="1.5"/>
    <n v="0.7"/>
    <s v="January"/>
    <n v="0.6"/>
    <s v="August"/>
    <n v="0.8"/>
    <x v="0"/>
    <x v="0"/>
    <s v="No"/>
    <s v="Yes"/>
    <n v="5"/>
    <s v="-"/>
    <n v="0"/>
    <s v="-"/>
    <n v="0.5"/>
    <n v="0.5"/>
    <n v="0.4"/>
    <n v="0.6"/>
  </r>
  <r>
    <s v="HB8Q0"/>
    <s v="IBIS BETHUNE CENTRE GARE"/>
    <x v="0"/>
    <s v="01/09/2021"/>
    <n v="78"/>
    <x v="0"/>
    <s v="309 AVENUE DE LENS"/>
    <s v="-"/>
    <s v="-"/>
    <x v="638"/>
    <s v="BETHUNE"/>
    <s v="2.6420335"/>
    <s v="50.5220139"/>
    <s v="Centre ville"/>
    <d v="2025-01-01T00:00:00"/>
    <d v="2025-01-01T00:00:00"/>
    <s v="Franchisee"/>
    <s v="FAMILLE DUCROCQ"/>
    <s v="Muriel JACQUELIN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B8Q6"/>
    <s v="IBIS STYLES NEUVILLE"/>
    <x v="2"/>
    <s v="01/02/1976"/>
    <n v="114"/>
    <x v="1"/>
    <s v="4 RUE DU VERTUQUET"/>
    <s v="-"/>
    <s v="-"/>
    <x v="639"/>
    <s v="NEUVILLE EN FERRAIN"/>
    <s v="3.16628"/>
    <s v="50.76229"/>
    <s v="Centre ville"/>
    <d v="2025-01-01T00:00:00"/>
    <d v="2025-01-01T00:00:00"/>
    <s v="Franchisee"/>
    <s v="CLAIRE ZODO"/>
    <s v="Muriel JACQUELINE"/>
    <x v="0"/>
    <n v="1.5"/>
    <n v="0.7"/>
    <s v="January"/>
    <n v="0.6"/>
    <s v="August"/>
    <n v="0.8"/>
    <x v="0"/>
    <x v="0"/>
    <s v="No"/>
    <s v="Yes"/>
    <n v="7"/>
    <n v="1"/>
    <n v="0"/>
    <n v="1"/>
    <n v="0.5"/>
    <n v="0.5"/>
    <n v="0.4"/>
    <n v="0.6"/>
  </r>
  <r>
    <s v="HB8R0"/>
    <s v="IBIS STYLES LENS CENTRE GARE"/>
    <x v="2"/>
    <s v="01/04/2022"/>
    <n v="85"/>
    <x v="0"/>
    <s v="14 PLACE DU GENERAL DE GAULLE"/>
    <s v="-"/>
    <s v="-"/>
    <x v="640"/>
    <s v="LENS"/>
    <s v="2.828776"/>
    <s v="50.427212"/>
    <s v="Centre ville"/>
    <d v="2025-01-01T00:00:00"/>
    <d v="2025-01-01T00:00:00"/>
    <s v="Franchisee"/>
    <s v="FAMILLE BROUILLARD"/>
    <s v="Muriel JACQUELINE"/>
    <x v="0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B8Y9"/>
    <s v="IBIS STYLES MONTAUBAN"/>
    <x v="2"/>
    <s v="10/01/2022"/>
    <n v="56"/>
    <x v="0"/>
    <s v="50 ROUTE DE SAINT MARTIAL"/>
    <s v="-"/>
    <s v="-"/>
    <x v="289"/>
    <s v="MONTAUBAN"/>
    <s v="1.383153"/>
    <s v="44.00526"/>
    <s v="Centre ville"/>
    <d v="2025-01-01T00:00:00"/>
    <d v="2025-01-01T00:00:00"/>
    <s v="Franchisee"/>
    <s v="FAMILLE ZEVACO"/>
    <s v="Jean Francois SANCHEZ"/>
    <x v="0"/>
    <n v="1.5"/>
    <n v="0.7"/>
    <s v="January"/>
    <n v="0.6"/>
    <s v="August"/>
    <n v="0.8"/>
    <x v="0"/>
    <x v="0"/>
    <s v="No"/>
    <s v="Yes"/>
    <n v="3"/>
    <n v="1"/>
    <n v="0"/>
    <n v="1"/>
    <n v="0.5"/>
    <n v="0.5"/>
    <n v="0.4"/>
    <n v="0.6"/>
  </r>
  <r>
    <s v="HB919"/>
    <s v="NOVOTEL ROUEN CENTRE"/>
    <x v="3"/>
    <s v="01/01/1954"/>
    <n v="82"/>
    <x v="0"/>
    <s v="10 QUAI DE LA BOURSE"/>
    <s v="-"/>
    <s v="-"/>
    <x v="641"/>
    <s v="ROUEN"/>
    <s v="1.0899553"/>
    <s v="49.4388505"/>
    <s v="Centre ville"/>
    <d v="2025-01-01T00:00:00"/>
    <d v="2025-01-01T00:00:00"/>
    <s v="Franchisee"/>
    <s v="KER HOSPITALITY"/>
    <s v="Ronan LE MEUR"/>
    <x v="1"/>
    <n v="1.5"/>
    <n v="0.7"/>
    <s v="January"/>
    <n v="0.6"/>
    <s v="August"/>
    <n v="0.8"/>
    <x v="0"/>
    <x v="0"/>
    <s v="No"/>
    <s v="Yes"/>
    <n v="4"/>
    <n v="1"/>
    <n v="0"/>
    <n v="1"/>
    <n v="0.5"/>
    <n v="0.5"/>
    <n v="0.4"/>
    <n v="0.6"/>
  </r>
  <r>
    <s v="HB940"/>
    <s v="IBIS LYON SUD OULLINS"/>
    <x v="0"/>
    <s v="12/04/2012"/>
    <n v="123"/>
    <x v="1"/>
    <s v="2 PLACE KELLERMANN"/>
    <s v="-"/>
    <s v="-"/>
    <x v="642"/>
    <s v="OULLINS"/>
    <s v="4.819393"/>
    <s v="45.71632"/>
    <s v="Centre ville"/>
    <d v="2025-01-01T00:00:00"/>
    <d v="2025-01-01T00:00:00"/>
    <s v="Franchisee"/>
    <s v="GROUPE BOISSET"/>
    <s v="Katia GARNIER"/>
    <x v="0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B9F4"/>
    <s v="IBIS BUDGET MILLAU VIADUC"/>
    <x v="4"/>
    <s v="01/01/2009"/>
    <n v="49"/>
    <x v="4"/>
    <s v="88 BOULEVARD CARDINAL FRANCOIS MARTY"/>
    <s v="-"/>
    <s v="-"/>
    <x v="438"/>
    <s v="MILLAU"/>
    <s v="3.065183"/>
    <s v="44.11601"/>
    <s v="Centre ville"/>
    <d v="2025-01-01T00:00:00"/>
    <d v="2025-01-01T00:00:00"/>
    <s v="Franchisee"/>
    <s v="FAMILLE PRAT"/>
    <s v="Jean Francois SANCHEZ"/>
    <x v="0"/>
    <n v="1.5"/>
    <n v="0.7"/>
    <s v="January"/>
    <n v="0.6"/>
    <s v="August"/>
    <n v="0.8"/>
    <x v="0"/>
    <x v="1"/>
    <s v="No"/>
    <s v="Yes"/>
    <n v="3"/>
    <s v="-"/>
    <n v="0"/>
    <n v="1"/>
    <n v="0.5"/>
    <n v="0.5"/>
    <n v="0.4"/>
    <n v="0.6"/>
  </r>
  <r>
    <s v="HB9G2"/>
    <s v="MERCURE AGEN"/>
    <x v="1"/>
    <s v="01/01/2006"/>
    <n v="79"/>
    <x v="0"/>
    <s v="1350 AVENUE DU MIDI"/>
    <s v="-"/>
    <s v="-"/>
    <x v="643"/>
    <s v="AGEN"/>
    <s v="0.61456"/>
    <s v="44.190519"/>
    <s v="Centre ville"/>
    <d v="2025-01-01T00:00:00"/>
    <d v="2025-01-01T00:00:00"/>
    <s v="Franchisee"/>
    <s v="EMMANUEL GRESILLON - DAVID NIZAN"/>
    <s v="Dominique CHEVANCE"/>
    <x v="0"/>
    <n v="1.5"/>
    <n v="0.7"/>
    <s v="January"/>
    <n v="0.6"/>
    <s v="August"/>
    <n v="0.8"/>
    <x v="0"/>
    <x v="1"/>
    <s v="No"/>
    <s v="Yes"/>
    <n v="3"/>
    <s v="-"/>
    <n v="0"/>
    <n v="1"/>
    <n v="0.5"/>
    <n v="0.5"/>
    <n v="0.4"/>
    <n v="0.6"/>
  </r>
  <r>
    <s v="HB9H3"/>
    <s v="IBIS BUDGET PARIS NORD 18EME"/>
    <x v="4"/>
    <s v="01/01/2004"/>
    <n v="119"/>
    <x v="1"/>
    <s v="7 IMPASSE MARTEAU"/>
    <s v="-"/>
    <s v="-"/>
    <x v="21"/>
    <s v="PARIS"/>
    <s v="2.361506"/>
    <s v="48.9016"/>
    <s v="Centre ville"/>
    <d v="2025-01-01T00:00:00"/>
    <d v="2025-01-01T00:00:00"/>
    <s v="Franchisee"/>
    <s v="EUROPEQUIPEMENTS"/>
    <s v="Sophie CHOLLON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9H9"/>
    <s v="IBIS STYLES VERSAILLES SQY"/>
    <x v="2"/>
    <s v="01/01/2012"/>
    <n v="93"/>
    <x v="0"/>
    <s v="1 RUE DU PONT DE DREUX"/>
    <s v="-"/>
    <s v="-"/>
    <x v="335"/>
    <s v="SAINT CYR L'ECOLE"/>
    <s v="2.058208"/>
    <s v="48.796275"/>
    <s v="Centre ville"/>
    <d v="2025-01-01T00:00:00"/>
    <d v="2025-01-01T00:00:00"/>
    <s v="Franchisee"/>
    <s v="SOHOMA"/>
    <s v="Pierre LAGRANGE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B9I1"/>
    <s v="IBIS BUDGET TOULOUSE LABEGE"/>
    <x v="4"/>
    <s v="01/03/2023"/>
    <n v="67"/>
    <x v="0"/>
    <s v="120 RUE GARANCE"/>
    <s v="-"/>
    <s v="-"/>
    <x v="644"/>
    <s v="LABEGE"/>
    <s v="1.50024"/>
    <s v="43.55"/>
    <s v="Centre ville"/>
    <d v="2025-01-01T00:00:00"/>
    <d v="2025-01-01T00:00:00"/>
    <s v="Franchisee"/>
    <s v="FAMILLE ZEVACO"/>
    <s v="Jean Francois SANCHEZ"/>
    <x v="1"/>
    <n v="1.5"/>
    <n v="0.7"/>
    <s v="January"/>
    <n v="0.6"/>
    <s v="August"/>
    <n v="0.8"/>
    <x v="1"/>
    <x v="0"/>
    <s v="No"/>
    <s v="Yes"/>
    <s v="-"/>
    <s v="-"/>
    <n v="0"/>
    <n v="1"/>
    <n v="0.5"/>
    <n v="0.5"/>
    <n v="0.4"/>
    <n v="0.6"/>
  </r>
  <r>
    <s v="HB9J1"/>
    <s v="IBIS BUDGET BASSIN ARCACHON"/>
    <x v="4"/>
    <s v="26/12/1991"/>
    <n v="46"/>
    <x v="4"/>
    <s v="7 AVENUE DE BINGHAMTON"/>
    <s v="-"/>
    <s v="-"/>
    <x v="390"/>
    <s v="LA TESTE DE BUCH"/>
    <s v="-1.135115"/>
    <s v="44.6165"/>
    <s v="Centre ville"/>
    <d v="2025-01-01T00:00:00"/>
    <d v="2025-01-01T00:00:00"/>
    <s v="Franchisee"/>
    <s v="ODILE JORIGNE"/>
    <s v="Jerome LANTERNIER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9J4"/>
    <s v="MERCURE TOULOUSE AEROPORT"/>
    <x v="1"/>
    <s v="01/01/2005"/>
    <n v="47"/>
    <x v="4"/>
    <s v="4 RUE DIEUDONNÉ COSTES"/>
    <s v="-"/>
    <s v="-"/>
    <x v="645"/>
    <s v="BLAGNAC"/>
    <s v="1.379918"/>
    <s v="43.631424"/>
    <s v="Centre ville"/>
    <d v="2025-01-01T00:00:00"/>
    <d v="2025-01-01T00:00:00"/>
    <s v="Franchisee"/>
    <s v="FAMILLE FAURE"/>
    <s v="Jean Francois SANCHEZ"/>
    <x v="1"/>
    <n v="1.5"/>
    <n v="0.7"/>
    <s v="January"/>
    <n v="0.6"/>
    <s v="August"/>
    <n v="0.8"/>
    <x v="0"/>
    <x v="0"/>
    <s v="No"/>
    <s v="Yes"/>
    <s v="-"/>
    <n v="1"/>
    <n v="0"/>
    <s v="-"/>
    <n v="0.5"/>
    <n v="0.5"/>
    <n v="0.4"/>
    <n v="0.6"/>
  </r>
  <r>
    <s v="HB9K3"/>
    <s v="IBIS ROUEN CENTRE RD PASTEUR"/>
    <x v="0"/>
    <s v="01/01/2006"/>
    <n v="79"/>
    <x v="0"/>
    <s v="7 RUE MONTAIGNE"/>
    <s v="-"/>
    <s v="-"/>
    <x v="641"/>
    <s v="ROUEN"/>
    <s v="1.07581"/>
    <s v="49.4435"/>
    <s v="Centre ville"/>
    <d v="2025-01-01T00:00:00"/>
    <d v="2025-01-01T00:00:00"/>
    <s v="Franchisee"/>
    <s v="KERSTONE"/>
    <s v="Ronan LE MEUR"/>
    <x v="1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B9L1"/>
    <s v="IBIS STYLES BORDEAUX BEGLES"/>
    <x v="2"/>
    <s v="01/01/1988"/>
    <n v="68"/>
    <x v="0"/>
    <s v="3 RUE MARCEL SEMBAT"/>
    <s v="-"/>
    <s v="-"/>
    <x v="646"/>
    <s v="BEGLES"/>
    <s v="-0.54023"/>
    <s v="44.82014"/>
    <s v="Centre ville"/>
    <d v="2025-01-01T00:00:00"/>
    <d v="2025-01-01T00:00:00"/>
    <s v="Franchisee"/>
    <s v="PA-HOLDING"/>
    <s v="Jerome LANTERNIER"/>
    <x v="0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B9M1"/>
    <s v="IBIS STYLES PARIS BATIGNOLLES"/>
    <x v="2"/>
    <s v="01/01/1910"/>
    <n v="68"/>
    <x v="0"/>
    <s v="119 AVENUE DE CLICHY"/>
    <s v="-"/>
    <s v="-"/>
    <x v="20"/>
    <s v="PARIS"/>
    <s v="2.321159"/>
    <s v="48.88988"/>
    <s v="Centre ville"/>
    <d v="2025-01-01T00:00:00"/>
    <d v="2025-01-01T00:00:00"/>
    <s v="Franchisee"/>
    <s v="DELPHINE FERTE-MEURISSE"/>
    <s v="Benoit DUCH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B9P1"/>
    <s v="IBIS BUDGET NANTES TREILLIERES"/>
    <x v="4"/>
    <s v="01/08/2023"/>
    <n v="51"/>
    <x v="0"/>
    <s v="1 RUE LAVOISIER"/>
    <s v="ROUTE DE LA CHAPELLE SUR ERDRE"/>
    <s v="-"/>
    <x v="647"/>
    <s v="TREILLIERES"/>
    <s v="-1.59537"/>
    <s v="47.27763"/>
    <s v="Centre ville"/>
    <d v="2025-01-01T00:00:00"/>
    <d v="2025-01-01T00:00:00"/>
    <s v="Franchisee"/>
    <s v="SOMEWHERE TO MEET"/>
    <s v="Jean-Luc RABAULT"/>
    <x v="1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9P8"/>
    <s v="IBIS STYLES LES HOUCHES"/>
    <x v="2"/>
    <s v="18/03/2000"/>
    <n v="48"/>
    <x v="4"/>
    <s v="333 RUE DE L'ESSERT"/>
    <s v="-"/>
    <s v="-"/>
    <x v="648"/>
    <s v="LES HOUCHES"/>
    <s v="6.791922"/>
    <s v="45.889202"/>
    <s v="Centre ville"/>
    <d v="2025-01-01T00:00:00"/>
    <d v="2025-01-01T00:00:00"/>
    <s v="Franchisee"/>
    <s v="APARTNERS CAPITAL"/>
    <s v="Bello DIALLO"/>
    <x v="0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B9Q3"/>
    <s v="IBIS STYLES CHATENAY MALABRY"/>
    <x v="2"/>
    <s v="01/01/1980"/>
    <n v="72"/>
    <x v="0"/>
    <s v="418 AV DIVISION LECLERC"/>
    <s v="-"/>
    <s v="-"/>
    <x v="649"/>
    <s v="CHATENAY MALABRY"/>
    <s v="2.253738"/>
    <s v="48.767247"/>
    <s v="Centre ville"/>
    <d v="2025-01-01T00:00:00"/>
    <d v="2025-01-01T00:00:00"/>
    <s v="Franchisee"/>
    <s v="SAMIR PATEL"/>
    <s v="Thomas COSTES"/>
    <x v="1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B9Q6"/>
    <s v="IBIS BUDGET FORBACH CENTRE"/>
    <x v="4"/>
    <s v="01/01/2004"/>
    <n v="71"/>
    <x v="0"/>
    <s v="30 AVENUE DE SPICHEREN"/>
    <s v="-"/>
    <s v="-"/>
    <x v="301"/>
    <s v="FORBACH"/>
    <s v="6.905033"/>
    <s v="49.186692"/>
    <s v="Centre ville"/>
    <d v="2025-01-01T00:00:00"/>
    <d v="2025-01-01T00:00:00"/>
    <s v="Franchisee"/>
    <s v="HEINTZ IMMOBILIER &amp; HOTELS"/>
    <s v="Christophe RUQUEBOE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B9Q7"/>
    <s v="IBIS STYLES PARIS VILLEJUIF"/>
    <x v="2"/>
    <s v="01/05/2023"/>
    <n v="178"/>
    <x v="3"/>
    <s v="11 AVENUE LOUIS ARAGON"/>
    <s v="-"/>
    <s v="-"/>
    <x v="650"/>
    <s v="VILLEJUIF"/>
    <s v="2.369136"/>
    <s v="48.788654"/>
    <s v="Centre ville"/>
    <d v="2025-01-01T00:00:00"/>
    <d v="2025-01-01T00:00:00"/>
    <s v="Franchisee"/>
    <s v="SUITCASE HOSPITALITY"/>
    <s v="Thomas COSTES"/>
    <x v="1"/>
    <n v="1.5"/>
    <n v="0.7"/>
    <s v="January"/>
    <n v="0.6"/>
    <s v="August"/>
    <n v="0.8"/>
    <x v="0"/>
    <x v="1"/>
    <s v="No"/>
    <s v="Yes"/>
    <n v="3"/>
    <n v="1"/>
    <n v="0"/>
    <s v="-"/>
    <n v="0.5"/>
    <n v="0.5"/>
    <n v="0.4"/>
    <n v="0.6"/>
  </r>
  <r>
    <s v="HC033"/>
    <s v="MERCURE PARIS NANTERRE"/>
    <x v="1"/>
    <s v="01/01/1990"/>
    <n v="85"/>
    <x v="0"/>
    <s v="2 AVENUE BENOÎT FRACHON"/>
    <s v="-"/>
    <s v="-"/>
    <x v="622"/>
    <s v="NANTERRE"/>
    <s v="2.19571401541702"/>
    <s v="48.8965972630121"/>
    <s v="Centre ville"/>
    <d v="2025-01-01T00:00:00"/>
    <d v="2025-01-01T00:00:00"/>
    <s v="Franchisee"/>
    <s v="FAMILLE FLAMBERT"/>
    <s v="Thomas COSTES"/>
    <x v="1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C034"/>
    <s v="IBIS STYLES BOURG LA REINE"/>
    <x v="2"/>
    <s v="01/01/1989"/>
    <n v="44"/>
    <x v="4"/>
    <s v="82 AV GENERAL LECLERC"/>
    <s v="-"/>
    <s v="-"/>
    <x v="651"/>
    <s v="BOURG LA REINE"/>
    <s v="2.315765"/>
    <s v="48.780727"/>
    <s v="Centre ville"/>
    <d v="2025-01-01T00:00:00"/>
    <d v="2025-01-01T00:00:00"/>
    <s v="Franchisee"/>
    <s v="GUILLAUME HUCHET"/>
    <s v="Benoit DUCHE"/>
    <x v="0"/>
    <n v="1.5"/>
    <n v="0.7"/>
    <s v="January"/>
    <n v="0.6"/>
    <s v="August"/>
    <n v="0.8"/>
    <x v="1"/>
    <x v="1"/>
    <s v="No"/>
    <s v="Yes"/>
    <s v="-"/>
    <n v="1"/>
    <n v="0"/>
    <s v="-"/>
    <n v="0.5"/>
    <n v="0.5"/>
    <n v="0.4"/>
    <n v="0.6"/>
  </r>
  <r>
    <s v="HC078"/>
    <s v="IBIS LYON EST MEYZIEU"/>
    <x v="0"/>
    <s v="13/11/2013"/>
    <n v="87"/>
    <x v="0"/>
    <s v="22 AVENUE LIONEL TERRAY"/>
    <s v="-"/>
    <s v="-"/>
    <x v="607"/>
    <s v="JONAGE"/>
    <s v="5.0372122"/>
    <s v="45.7692896"/>
    <s v="Centre ville"/>
    <d v="2025-01-01T00:00:00"/>
    <d v="2025-01-01T00:00:00"/>
    <s v="Franchisee"/>
    <s v="SOHOMA"/>
    <s v="Katia GARNIER"/>
    <x v="0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C079"/>
    <s v="IBIS STYLES SAINT-QUENTIN"/>
    <x v="2"/>
    <s v="01/06/2004"/>
    <n v="56"/>
    <x v="0"/>
    <s v="AVENUE ARCHIMÈDE"/>
    <s v="ZA DU BOIS DE LA CHOCQUE"/>
    <s v="-"/>
    <x v="277"/>
    <s v="SAINT-QUENTIN"/>
    <s v="3.2657861"/>
    <s v="49.854419"/>
    <s v="Centre ville"/>
    <d v="2025-01-01T00:00:00"/>
    <d v="2025-01-01T00:00:00"/>
    <s v="Franchisee"/>
    <s v="KHALID ENNACIRI"/>
    <s v="Muriel JACQUELINE"/>
    <x v="1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C091"/>
    <s v="IBIS ST PAUL TROIS CHATEAUX"/>
    <x v="0"/>
    <s v="01/11/2023"/>
    <n v="78"/>
    <x v="0"/>
    <s v="46 IMPASSE DU BOUQUET"/>
    <s v="-"/>
    <s v="-"/>
    <x v="652"/>
    <s v="SAINT-PAUL-TROIS-CHÂTEAUX"/>
    <s v="4.741247"/>
    <s v="44.361494"/>
    <s v="Centre ville"/>
    <d v="2025-01-01T00:00:00"/>
    <d v="2025-01-01T00:00:00"/>
    <s v="Franchisee"/>
    <s v="FAMILLE NOGIER"/>
    <s v="Bello DIALLO"/>
    <x v="1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C098"/>
    <s v="IBIS BUDGET LOUDEAC"/>
    <x v="4"/>
    <s v="01/07/2023"/>
    <n v="51"/>
    <x v="0"/>
    <s v="3 RUE HONORÉ MICHARD"/>
    <s v="PARC TRISKELL"/>
    <s v="-"/>
    <x v="653"/>
    <s v="LOUDÉAC"/>
    <s v="-2.734227"/>
    <s v="48.180704"/>
    <s v="Centre ville"/>
    <d v="2025-01-01T00:00:00"/>
    <d v="2025-01-01T00:00:00"/>
    <s v="Franchisee"/>
    <s v="FRANCOIS GAUTIER - YANN CARIMALO"/>
    <s v="Jean-Luc RABAULT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C099"/>
    <s v="IBIS PARIS NATION DAVOUT"/>
    <x v="0"/>
    <s v="01/01/1993"/>
    <n v="63"/>
    <x v="0"/>
    <s v="110 RUE DES ORTEAUX"/>
    <s v="-"/>
    <s v="-"/>
    <x v="305"/>
    <s v="PARIS"/>
    <s v="2.409751"/>
    <s v="48.855506"/>
    <s v="Centre ville"/>
    <d v="2025-01-01T00:00:00"/>
    <d v="2025-01-01T00:00:00"/>
    <s v="Franchisee"/>
    <s v="CLAUDE BRIQUET"/>
    <s v="Pierre LAGRANGE"/>
    <x v="0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C0D8"/>
    <s v="IBIS STYLES MIRAMAS PROVENCE"/>
    <x v="2"/>
    <s v="11/02/2020"/>
    <n v="72"/>
    <x v="0"/>
    <s v="RUE DE LA LAVANDE"/>
    <s v="-"/>
    <s v="-"/>
    <x v="654"/>
    <s v="MIRAMAS"/>
    <s v="4.993047"/>
    <s v="43.588841"/>
    <s v="Centre ville"/>
    <d v="2025-01-01T00:00:00"/>
    <d v="2025-01-01T00:00:00"/>
    <s v="Franchisee"/>
    <s v="FAMILLE LAVALLEE"/>
    <s v="Alexandra LAUNAY"/>
    <x v="1"/>
    <n v="1.5"/>
    <n v="0.7"/>
    <s v="January"/>
    <n v="0.6"/>
    <s v="August"/>
    <n v="0.8"/>
    <x v="0"/>
    <x v="1"/>
    <s v="No"/>
    <s v="Yes"/>
    <n v="3"/>
    <s v="-"/>
    <n v="0"/>
    <n v="1"/>
    <n v="0.5"/>
    <n v="0.5"/>
    <n v="0.4"/>
    <n v="0.6"/>
  </r>
  <r>
    <s v="HC0F8"/>
    <s v="IBIS STYLES STRASBOURG NORD"/>
    <x v="2"/>
    <s v="01/01/1989"/>
    <n v="120"/>
    <x v="1"/>
    <s v="6 AV. PIERRE MENDÈS-FRANCE"/>
    <s v="-"/>
    <s v="-"/>
    <x v="655"/>
    <s v="SCHILTIGHEIM"/>
    <s v="7.759337"/>
    <s v="48.605297"/>
    <s v="Centre ville"/>
    <d v="2025-01-01T00:00:00"/>
    <d v="2025-01-01T00:00:00"/>
    <s v="Franchisee"/>
    <s v="FAMILLE CADIEUX"/>
    <s v="Christophe RUQUEBOEUCHE"/>
    <x v="1"/>
    <n v="1.5"/>
    <n v="0.7"/>
    <s v="January"/>
    <n v="0.6"/>
    <s v="August"/>
    <n v="0.8"/>
    <x v="0"/>
    <x v="0"/>
    <s v="No"/>
    <s v="Yes"/>
    <n v="4"/>
    <n v="1"/>
    <n v="0"/>
    <s v="-"/>
    <n v="0.5"/>
    <n v="0.5"/>
    <n v="0.4"/>
    <n v="0.6"/>
  </r>
  <r>
    <s v="HC0H9"/>
    <s v="IBIS STYLES STRASBOURG REPUB"/>
    <x v="2"/>
    <s v="01/09/2002"/>
    <n v="85"/>
    <x v="0"/>
    <s v="6 RUE DE BITCHE"/>
    <s v="-"/>
    <s v="-"/>
    <x v="656"/>
    <s v="STRASBOURG"/>
    <s v="7.753319"/>
    <s v="48.591193"/>
    <s v="Centre ville"/>
    <d v="2025-01-01T00:00:00"/>
    <d v="2025-01-01T00:00:00"/>
    <s v="Franchisee"/>
    <s v="MILLION - CHOREIN"/>
    <s v="Christophe RUQUEBOEUCHE"/>
    <x v="1"/>
    <n v="1.5"/>
    <n v="0.7"/>
    <s v="January"/>
    <n v="0.6"/>
    <s v="August"/>
    <n v="0.8"/>
    <x v="0"/>
    <x v="1"/>
    <s v="No"/>
    <s v="Yes"/>
    <n v="4"/>
    <s v="-"/>
    <n v="0"/>
    <s v="-"/>
    <n v="0.5"/>
    <n v="0.5"/>
    <n v="0.4"/>
    <n v="0.6"/>
  </r>
  <r>
    <s v="HC0I0"/>
    <s v="IBIS ROUEN MERMOZ"/>
    <x v="0"/>
    <s v="12/02/2018"/>
    <n v="90"/>
    <x v="0"/>
    <s v="13 RUE DE LA MOTTE"/>
    <s v="-"/>
    <s v="-"/>
    <x v="657"/>
    <s v="ROUEN"/>
    <s v="1.0733315944"/>
    <s v="49.4345245361"/>
    <s v="Centre ville"/>
    <d v="2025-01-01T00:00:00"/>
    <d v="2025-01-01T00:00:00"/>
    <s v="Franchisee"/>
    <s v="KERSTONE"/>
    <s v="Ronan LE MEUR"/>
    <x v="0"/>
    <n v="1.5"/>
    <n v="0.7"/>
    <s v="January"/>
    <n v="0.6"/>
    <s v="August"/>
    <n v="0.8"/>
    <x v="0"/>
    <x v="0"/>
    <s v="No"/>
    <s v="Yes"/>
    <n v="2"/>
    <s v="-"/>
    <n v="0"/>
    <s v="-"/>
    <n v="0.5"/>
    <n v="0.5"/>
    <n v="0.4"/>
    <n v="0.6"/>
  </r>
  <r>
    <s v="HC0M6"/>
    <s v="IBIS BUDGET MORLAIX"/>
    <x v="4"/>
    <s v="01/01/2024"/>
    <n v="52"/>
    <x v="0"/>
    <s v="400 RUE CAROLINE AIGLE"/>
    <s v="-"/>
    <s v="-"/>
    <x v="658"/>
    <s v="MORLAIX"/>
    <s v="-3.809301"/>
    <s v="48.597195"/>
    <s v="Centre ville"/>
    <d v="2025-01-01T00:00:00"/>
    <d v="2025-01-01T00:00:00"/>
    <s v="Franchisee"/>
    <s v="LAURENT JONCOURT"/>
    <s v="Jean-Francois STEBLER"/>
    <x v="1"/>
    <n v="1.5"/>
    <n v="0.7"/>
    <s v="January"/>
    <n v="0.6"/>
    <s v="August"/>
    <n v="0.8"/>
    <x v="0"/>
    <x v="1"/>
    <s v="No"/>
    <s v="Yes"/>
    <n v="2"/>
    <s v="-"/>
    <n v="0"/>
    <n v="1"/>
    <n v="0.5"/>
    <n v="0.5"/>
    <n v="0.4"/>
    <n v="0.6"/>
  </r>
  <r>
    <s v="HC0T4"/>
    <s v="MONTMARTRE BATIGNOLLES"/>
    <x v="2"/>
    <s v="01/03/2023"/>
    <n v="37"/>
    <x v="4"/>
    <s v="237 RUE DE LA CONVENTION"/>
    <s v="-"/>
    <s v="-"/>
    <x v="173"/>
    <s v="PARIS"/>
    <s v="2.329325"/>
    <s v="48.884982"/>
    <s v="Centre ville"/>
    <d v="2025-01-01T00:00:00"/>
    <d v="2025-01-01T00:00:00"/>
    <s v="Franchisee"/>
    <s v="KER HOSPITALITY"/>
    <s v="Benoit DUCHE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C0T6"/>
    <s v="IBIS BUDGET LUNEL"/>
    <x v="4"/>
    <s v="01/01/2008"/>
    <n v="45"/>
    <x v="4"/>
    <s v="114 AVENUE DE LA PETITE CAMARGUE"/>
    <s v="ZA LA PEYRE"/>
    <s v="-"/>
    <x v="627"/>
    <s v="LUNEL"/>
    <s v="4.192711"/>
    <s v="43.701606"/>
    <s v="Centre ville"/>
    <d v="2025-01-01T00:00:00"/>
    <d v="2025-01-01T00:00:00"/>
    <s v="Franchisee"/>
    <s v="SOMNOO"/>
    <s v="Jean-Claude FOUCHET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C0V2"/>
    <s v="MERCURE AX LES THERMES"/>
    <x v="1"/>
    <s v="01/01/1910"/>
    <n v="53"/>
    <x v="0"/>
    <s v="6 CHEMIN DE LA CONDAMINE"/>
    <s v="-"/>
    <s v="-"/>
    <x v="659"/>
    <s v="AX-LES-THERMES"/>
    <s v="1.839916"/>
    <s v="42.722361"/>
    <s v="Centre ville"/>
    <d v="2025-01-01T00:00:00"/>
    <d v="2025-01-01T00:00:00"/>
    <s v="Franchisee"/>
    <s v="FAMILLE PUJOL"/>
    <s v="Jean Francois SANCHEZ"/>
    <x v="6"/>
    <n v="1.5"/>
    <n v="0.7"/>
    <s v="January"/>
    <n v="0.6"/>
    <s v="August"/>
    <n v="0.8"/>
    <x v="2"/>
    <x v="0"/>
    <s v="No"/>
    <s v="Yes"/>
    <n v="4"/>
    <n v="1"/>
    <n v="1"/>
    <n v="1"/>
    <n v="0.5"/>
    <n v="0.5"/>
    <n v="0.4"/>
    <n v="0.6"/>
  </r>
  <r>
    <s v="HC0W0"/>
    <s v="IBIS BUDGET TOURS SUD"/>
    <x v="4"/>
    <s v="01/11/1978"/>
    <n v="46"/>
    <x v="4"/>
    <s v="27 RUE ETIENNE COSSON"/>
    <s v="PARC D’ACTIVITÉ DE LA VRILLONNERIE"/>
    <s v="-"/>
    <x v="77"/>
    <s v="CHAMBRAY-LÈS-TOURS"/>
    <s v="0.698803"/>
    <s v="47.335727"/>
    <s v="Centre ville"/>
    <d v="2025-01-01T00:00:00"/>
    <d v="2025-01-01T00:00:00"/>
    <s v="Franchisee"/>
    <s v="JEAN-LUC MOTOT"/>
    <s v="Bruno COQUAZ"/>
    <x v="0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C116"/>
    <s v="IBIS BUDGET AUXERRE NORD"/>
    <x v="4"/>
    <s v="08/04/2025"/>
    <n v="81"/>
    <x v="0"/>
    <s v="AVENUE DE L’EUROPE"/>
    <s v="LIEU-DIT LE CHAUMOIS"/>
    <s v="-"/>
    <x v="660"/>
    <s v="MONETEAU"/>
    <e v="#N/A"/>
    <e v="#N/A"/>
    <s v="Centre ville"/>
    <d v="2025-01-01T00:00:00"/>
    <d v="2025-01-01T00:00:00"/>
    <s v="Franchisee"/>
    <s v="JEAN MARIE FRAGNE"/>
    <s v="Bruno COQUAZ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C127"/>
    <s v="MERCURE ACHERES"/>
    <x v="1"/>
    <s v="01/07/2024"/>
    <n v="56"/>
    <x v="0"/>
    <s v="1 AVENUE DES DROITS DE L’HOMME"/>
    <s v="-"/>
    <s v="-"/>
    <x v="661"/>
    <s v="ACHÈRES"/>
    <s v="2.080345"/>
    <s v="48.972321"/>
    <s v="Centre ville"/>
    <d v="2025-01-01T00:00:00"/>
    <d v="2025-01-01T00:00:00"/>
    <s v="Franchisee"/>
    <s v="SAMIR PATEL"/>
    <s v="Thomas COSTES"/>
    <x v="1"/>
    <n v="1.5"/>
    <n v="0.7"/>
    <s v="January"/>
    <n v="0.6"/>
    <s v="August"/>
    <n v="0.8"/>
    <x v="0"/>
    <x v="0"/>
    <s v="No"/>
    <s v="Yes"/>
    <n v="4"/>
    <s v="-"/>
    <n v="0"/>
    <s v="-"/>
    <n v="0.5"/>
    <n v="0.5"/>
    <n v="0.4"/>
    <n v="0.6"/>
  </r>
  <r>
    <s v="HC128"/>
    <s v="IBIS ACHERES"/>
    <x v="0"/>
    <s v="01/07/2024"/>
    <n v="64"/>
    <x v="0"/>
    <s v="2 AVENUE DES DROITS DE L’HOMME"/>
    <s v="-"/>
    <s v="-"/>
    <x v="661"/>
    <s v="ACHÈRES"/>
    <s v="2.080345"/>
    <s v="48.972321"/>
    <s v="Centre ville"/>
    <d v="2025-01-01T00:00:00"/>
    <d v="2025-01-01T00:00:00"/>
    <s v="Franchisee"/>
    <s v="SAMIR PATEL"/>
    <s v="Thomas COSTES"/>
    <x v="1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C133"/>
    <s v="MERCURE LA DURANNE TGV"/>
    <x v="1"/>
    <s v="01/01/2008"/>
    <n v="74"/>
    <x v="0"/>
    <s v="97 RUE DU DOCTEUR ALBERT AYNAUD"/>
    <s v="PARC DE LA DURANNE"/>
    <s v="-"/>
    <x v="461"/>
    <s v="AIX-EN-PROVENCE"/>
    <s v="5.35155"/>
    <s v="43.490686"/>
    <s v="Centre ville"/>
    <d v="2025-01-01T00:00:00"/>
    <d v="2025-01-01T00:00:00"/>
    <s v="Franchisee"/>
    <s v="EMMANUEL GRESILLON"/>
    <s v="Alexandra LAUNAY"/>
    <x v="1"/>
    <n v="1.5"/>
    <n v="0.7"/>
    <s v="January"/>
    <n v="0.6"/>
    <s v="August"/>
    <n v="0.8"/>
    <x v="0"/>
    <x v="0"/>
    <s v="No"/>
    <s v="Yes"/>
    <n v="3"/>
    <s v="-"/>
    <n v="0"/>
    <n v="1"/>
    <n v="0.5"/>
    <n v="0.5"/>
    <n v="0.4"/>
    <n v="0.6"/>
  </r>
  <r>
    <s v="HC175"/>
    <s v="IBIS BUDGET PUILBOREAU"/>
    <x v="4"/>
    <s v="01/03/2025"/>
    <n v="76"/>
    <x v="0"/>
    <s v="RUE DE LA BELLE ÉTOILE"/>
    <s v="ZAC DE BEAULIEU"/>
    <s v="-"/>
    <x v="662"/>
    <s v="PUILBOREAU"/>
    <e v="#N/A"/>
    <e v="#N/A"/>
    <s v="Centre ville"/>
    <d v="2025-01-01T00:00:00"/>
    <d v="2025-01-01T00:00:00"/>
    <s v="Franchisee"/>
    <s v="SARL IBB PUILBOREAU"/>
    <s v="Jerome LANTERNIER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C1F8"/>
    <s v="MERCURE ST RAPHAEL CENTRE PLAGE"/>
    <x v="1"/>
    <s v="28/12/1995"/>
    <n v="44"/>
    <x v="4"/>
    <s v="16 BOULEVARD DARBY"/>
    <s v="-"/>
    <s v="-"/>
    <x v="663"/>
    <s v="SAINT-RAPHAËL"/>
    <s v="6.768132"/>
    <s v="43.421916"/>
    <s v="Centre ville"/>
    <d v="2025-01-01T00:00:00"/>
    <d v="2025-01-01T00:00:00"/>
    <s v="Franchisee"/>
    <s v="SERITEL"/>
    <s v="Marion BOROT"/>
    <x v="1"/>
    <n v="1.5"/>
    <n v="0.7"/>
    <s v="January"/>
    <n v="0.6"/>
    <s v="August"/>
    <n v="0.8"/>
    <x v="0"/>
    <x v="1"/>
    <s v="No"/>
    <s v="Yes"/>
    <n v="2"/>
    <s v="-"/>
    <n v="0"/>
    <s v="-"/>
    <n v="0.5"/>
    <n v="0.5"/>
    <n v="0.4"/>
    <n v="0.6"/>
  </r>
  <r>
    <s v="HC1N9"/>
    <s v="IBIS DOUAI DECHY"/>
    <x v="0"/>
    <s v="10/09/2012"/>
    <n v="61"/>
    <x v="0"/>
    <s v="RUE BARLETTE"/>
    <s v="ZAC DU LUC"/>
    <s v="-"/>
    <x v="664"/>
    <s v="DECHY"/>
    <s v="3.1163"/>
    <s v="50.34398"/>
    <s v="Centre ville"/>
    <d v="2025-01-01T00:00:00"/>
    <d v="2025-01-01T00:00:00"/>
    <s v="Franchisee"/>
    <s v="SOHOMA"/>
    <s v="Muriel JACQUELINE"/>
    <x v="1"/>
    <n v="1.5"/>
    <n v="0.7"/>
    <s v="January"/>
    <n v="0.6"/>
    <s v="August"/>
    <n v="0.8"/>
    <x v="0"/>
    <x v="0"/>
    <s v="No"/>
    <s v="Yes"/>
    <n v="1"/>
    <s v="-"/>
    <n v="0"/>
    <s v="-"/>
    <n v="0.5"/>
    <n v="0.5"/>
    <n v="0.4"/>
    <n v="0.6"/>
  </r>
  <r>
    <s v="HC1R6"/>
    <s v="IBIS STYLES BORDEAUX GARE"/>
    <x v="2"/>
    <s v="01/01/2010"/>
    <n v="70"/>
    <x v="0"/>
    <s v="47 RUE EUGÈNE LE ROY"/>
    <s v="-"/>
    <s v="-"/>
    <x v="267"/>
    <s v="BORDEAUX"/>
    <s v="-0.55553"/>
    <s v="44.828773"/>
    <s v="Centre ville"/>
    <d v="2025-01-01T00:00:00"/>
    <d v="2025-01-01T00:00:00"/>
    <s v="Franchisee"/>
    <s v="CHOPIN - PRATS"/>
    <s v="Jerome LANTERNIER"/>
    <x v="1"/>
    <n v="1.5"/>
    <n v="0.7"/>
    <s v="January"/>
    <n v="0.6"/>
    <s v="August"/>
    <n v="0.8"/>
    <x v="0"/>
    <x v="1"/>
    <s v="No"/>
    <s v="Yes"/>
    <n v="3"/>
    <s v="-"/>
    <n v="0"/>
    <s v="-"/>
    <n v="0.5"/>
    <n v="0.5"/>
    <n v="0.4"/>
    <n v="0.6"/>
  </r>
  <r>
    <s v="HC1U5"/>
    <s v="IBIS STYLES DIJON NORD VALMY"/>
    <x v="2"/>
    <s v="01/01/2013"/>
    <n v="75"/>
    <x v="0"/>
    <s v="7 RUE DES ARDENNES"/>
    <s v="PARC VALMY"/>
    <s v="-"/>
    <x v="115"/>
    <s v="DIJON"/>
    <s v="5.0499"/>
    <s v="47.36107"/>
    <s v="Centre ville"/>
    <d v="2025-01-01T00:00:00"/>
    <d v="2025-01-01T00:00:00"/>
    <s v="Franchisee"/>
    <s v="FAMILLE JACQUIER"/>
    <s v="Eric MARAIS"/>
    <x v="1"/>
    <n v="1.5"/>
    <n v="0.7"/>
    <s v="January"/>
    <n v="0.6"/>
    <s v="August"/>
    <n v="0.8"/>
    <x v="0"/>
    <x v="1"/>
    <s v="No"/>
    <s v="Yes"/>
    <n v="1"/>
    <n v="1"/>
    <n v="0"/>
    <s v="-"/>
    <n v="0.5"/>
    <n v="0.5"/>
    <n v="0.4"/>
    <n v="0.6"/>
  </r>
  <r>
    <s v="HC1V8"/>
    <s v="IBIS STYLES SAINT DENIS PLEYEL"/>
    <x v="2"/>
    <s v="01/01/1980"/>
    <n v="79"/>
    <x v="0"/>
    <s v="20 QUAI DE ST-OUEN"/>
    <s v="-"/>
    <s v="-"/>
    <x v="665"/>
    <s v="SAINT-DENIS"/>
    <s v="2.340267"/>
    <s v="48.928892"/>
    <s v="Centre ville"/>
    <d v="2025-01-01T00:00:00"/>
    <d v="2025-01-01T00:00:00"/>
    <s v="Franchisee"/>
    <s v="ATALANTE"/>
    <s v="Benoit DUCHE"/>
    <x v="1"/>
    <n v="1.5"/>
    <n v="0.7"/>
    <s v="January"/>
    <n v="0.6"/>
    <s v="August"/>
    <n v="0.8"/>
    <x v="0"/>
    <x v="0"/>
    <s v="No"/>
    <s v="Yes"/>
    <s v="-"/>
    <s v="-"/>
    <n v="0"/>
    <s v="-"/>
    <n v="0.5"/>
    <n v="0.5"/>
    <n v="0.4"/>
    <n v="0.6"/>
  </r>
  <r>
    <s v="HC238"/>
    <s v="IBIS STYLES CABRIES GOLF"/>
    <x v="2"/>
    <s v="01/10/2023"/>
    <n v="58"/>
    <x v="0"/>
    <s v="AVENUE JEAN MONNET"/>
    <s v="ZAC DE LA BARQUE"/>
    <s v="-"/>
    <x v="666"/>
    <s v="CABRIES"/>
    <s v="5.350297"/>
    <s v="43.45369"/>
    <s v="Centre ville"/>
    <d v="2025-01-01T00:00:00"/>
    <d v="2025-01-01T00:00:00"/>
    <s v="Franchisee"/>
    <s v="ALEX AMMAR - LEONARDO KLEINER"/>
    <s v="Alexandra LAUNAY"/>
    <x v="1"/>
    <n v="1.5"/>
    <n v="0.7"/>
    <s v="January"/>
    <n v="0.6"/>
    <s v="August"/>
    <n v="0.8"/>
    <x v="1"/>
    <x v="1"/>
    <s v="No"/>
    <s v="Yes"/>
    <s v="-"/>
    <s v="-"/>
    <n v="0"/>
    <s v="-"/>
    <n v="0.5"/>
    <n v="0.5"/>
    <n v="0.4"/>
    <n v="0.6"/>
  </r>
  <r>
    <s v="HC254"/>
    <s v="IBIS STYLES GUERET"/>
    <x v="2"/>
    <s v="01/12/2009"/>
    <n v="56"/>
    <x v="0"/>
    <s v="19 AVENUE DE L'EUROPE"/>
    <s v="-"/>
    <s v="-"/>
    <x v="667"/>
    <s v="GUÉRET"/>
    <s v="1.8763888"/>
    <s v="46.1805555"/>
    <s v="Centre ville"/>
    <d v="2025-01-01T00:00:00"/>
    <d v="2025-01-01T00:00:00"/>
    <s v="Franchisee"/>
    <s v="FRANCOIS GIRARD"/>
    <s v="Dominique CHEVANCE"/>
    <x v="1"/>
    <n v="1.5"/>
    <n v="0.7"/>
    <s v="January"/>
    <n v="0.6"/>
    <s v="August"/>
    <n v="0.8"/>
    <x v="0"/>
    <x v="1"/>
    <s v="No"/>
    <s v="Yes"/>
    <n v="1"/>
    <s v="-"/>
    <n v="0"/>
    <s v="-"/>
    <n v="0.5"/>
    <n v="0.5"/>
    <n v="0.4"/>
    <n v="0.6"/>
  </r>
  <r>
    <s v="HC284"/>
    <s v="MERCURE MAINTENON"/>
    <x v="1"/>
    <s v="01/01/2015"/>
    <n v="78"/>
    <x v="0"/>
    <s v="22 PLACE DES ÉPARS"/>
    <s v="-"/>
    <s v="-"/>
    <x v="668"/>
    <s v="MAINTENON"/>
    <e v="#N/A"/>
    <e v="#N/A"/>
    <s v="Centre ville"/>
    <d v="2025-01-01T00:00:00"/>
    <d v="2025-01-01T00:00:00"/>
    <s v="Franchisee"/>
    <s v="ATYPIO"/>
    <s v="Pierre LAGRANGE"/>
    <x v="1"/>
    <n v="1.5"/>
    <n v="0.7"/>
    <s v="January"/>
    <n v="0.6"/>
    <s v="August"/>
    <n v="0.8"/>
    <x v="0"/>
    <x v="0"/>
    <s v="No"/>
    <s v="Yes"/>
    <n v="9"/>
    <n v="1"/>
    <n v="1"/>
    <n v="1"/>
    <n v="0.5"/>
    <n v="0.5"/>
    <n v="0.4"/>
    <n v="0.6"/>
  </r>
  <r>
    <s v="HC2F4"/>
    <s v="IBIS ROQUEBRUNE MENTON"/>
    <x v="0"/>
    <s v="12/04/2003"/>
    <n v="66"/>
    <x v="0"/>
    <s v="26 RUE GEORGES DRIN"/>
    <s v="-"/>
    <s v="-"/>
    <x v="669"/>
    <s v="ROQUEBRUNE-CAP-MARTIN"/>
    <s v="7.48012"/>
    <s v="43.75844"/>
    <s v="Centre ville"/>
    <d v="2025-01-01T00:00:00"/>
    <d v="2025-01-01T00:00:00"/>
    <s v="Franchisee"/>
    <s v="THOMAS LAURENTI"/>
    <s v="Marion BOROT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C2F5"/>
    <s v="IBIS STYLES PREVESSIN GENEVE"/>
    <x v="2"/>
    <s v="01/01/2017"/>
    <n v="79"/>
    <x v="0"/>
    <s v="350 ROUTE DU NANT"/>
    <s v="-"/>
    <s v="-"/>
    <x v="670"/>
    <s v="PRÉVESSIN-MOËNS"/>
    <s v="6.087922"/>
    <s v="46.248518"/>
    <s v="Centre ville"/>
    <d v="2025-01-01T00:00:00"/>
    <d v="2025-01-01T00:00:00"/>
    <s v="Franchisee"/>
    <s v="SOHOMA"/>
    <s v="Bello DIALLO"/>
    <x v="1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C2M6"/>
    <s v="IBIS STYLES PANTIN"/>
    <x v="2"/>
    <s v="01/03/2025"/>
    <n v="74"/>
    <x v="0"/>
    <s v="153 AVENUE JEAN LOLIVE"/>
    <s v="-"/>
    <s v="-"/>
    <x v="309"/>
    <s v="PANTIN"/>
    <s v="2.39929"/>
    <s v="48.890229"/>
    <s v="Centre ville"/>
    <d v="2025-01-01T00:00:00"/>
    <d v="2025-01-01T00:00:00"/>
    <s v="Franchisee"/>
    <s v="EUROPEQUIPEMENTS"/>
    <s v="Sophie CHOLLON"/>
    <x v="1"/>
    <n v="1.5"/>
    <n v="0.7"/>
    <s v="January"/>
    <n v="0.6"/>
    <s v="August"/>
    <n v="0.8"/>
    <x v="0"/>
    <x v="0"/>
    <s v="No"/>
    <s v="Yes"/>
    <n v="3"/>
    <n v="1"/>
    <n v="0"/>
    <s v="-"/>
    <n v="0.5"/>
    <n v="0.5"/>
    <n v="0.4"/>
    <n v="0.6"/>
  </r>
  <r>
    <s v="HC2M8"/>
    <s v="IBIS STYLES VILLENEUVE D ASCQ"/>
    <x v="2"/>
    <s v="01/01/1985"/>
    <n v="72"/>
    <x v="0"/>
    <s v="211 BOULEVARD DE TOURNAI"/>
    <s v="-"/>
    <s v="-"/>
    <x v="413"/>
    <s v="VILLENEUVE-D’ASCQ"/>
    <e v="#N/A"/>
    <e v="#N/A"/>
    <s v="Centre ville"/>
    <d v="2025-01-01T00:00:00"/>
    <d v="2025-01-01T00:00:00"/>
    <s v="Franchisee"/>
    <s v="MICHAEL GINS"/>
    <s v="Muriel JACQUELINE"/>
    <x v="6"/>
    <n v="1.5"/>
    <n v="0.7"/>
    <s v="January"/>
    <n v="0.6"/>
    <s v="August"/>
    <n v="0.8"/>
    <x v="0"/>
    <x v="1"/>
    <s v="No"/>
    <s v="Yes"/>
    <s v="-"/>
    <s v="-"/>
    <n v="0"/>
    <s v="-"/>
    <n v="0.5"/>
    <n v="0.5"/>
    <n v="0.4"/>
    <n v="0.6"/>
  </r>
  <r>
    <s v="HC2Q0"/>
    <s v="IBIS STYLES BIARRITZ PLAGE"/>
    <x v="2"/>
    <s v="01/01/1988"/>
    <n v="49"/>
    <x v="4"/>
    <s v="30 AVENUE DE LA MILADY"/>
    <s v="-"/>
    <s v="-"/>
    <x v="505"/>
    <s v="BIARRITZ"/>
    <s v="-1.566613"/>
    <s v="43.471808"/>
    <s v="Centre ville"/>
    <d v="2025-01-01T00:00:00"/>
    <d v="2025-01-01T00:00:00"/>
    <s v="Franchisee"/>
    <s v="PATRICK ARROSTEGUY"/>
    <s v="Jerome LANTERNIER"/>
    <x v="1"/>
    <n v="1.5"/>
    <n v="0.7"/>
    <s v="January"/>
    <n v="0.6"/>
    <s v="August"/>
    <n v="0.8"/>
    <x v="0"/>
    <x v="0"/>
    <s v="No"/>
    <s v="Yes"/>
    <n v="3"/>
    <s v="-"/>
    <n v="0"/>
    <s v="-"/>
    <n v="0.5"/>
    <n v="0.5"/>
    <n v="0.4"/>
    <n v="0.6"/>
  </r>
  <r>
    <s v="HC3C7"/>
    <s v="IBIS STYLES MARSEILLE PALAIS CGR"/>
    <x v="2"/>
    <s v="01/01/1980"/>
    <n v="90"/>
    <x v="0"/>
    <s v="64 RUE DE LA JOLIETTE"/>
    <s v="-"/>
    <s v="-"/>
    <x v="453"/>
    <s v="MARSEILLE"/>
    <e v="#N/A"/>
    <e v="#N/A"/>
    <s v="Centre ville"/>
    <d v="2025-01-01T00:00:00"/>
    <d v="2025-01-01T00:00:00"/>
    <s v="Franchisee"/>
    <s v="FAMILLE KOLB"/>
    <s v="Alexandra LAUNAY"/>
    <x v="6"/>
    <n v="1.5"/>
    <n v="0.7"/>
    <s v="January"/>
    <n v="0.6"/>
    <s v="August"/>
    <n v="0.8"/>
    <x v="0"/>
    <x v="0"/>
    <s v="No"/>
    <s v="Yes"/>
    <n v="6"/>
    <s v="-"/>
    <n v="0"/>
    <s v="-"/>
    <n v="0.5"/>
    <n v="0.5"/>
    <n v="0.4"/>
    <n v="0.6"/>
  </r>
  <r>
    <s v="HC419"/>
    <s v="IBIS PARIS PORTE DE SAINT OUEN"/>
    <x v="0"/>
    <s v="01/01/1987"/>
    <n v="117"/>
    <x v="1"/>
    <s v="15 RUE DU DR BABINSKI"/>
    <s v="-"/>
    <s v="-"/>
    <x v="21"/>
    <s v="PARIS"/>
    <e v="#N/A"/>
    <e v="#N/A"/>
    <s v="Centre ville"/>
    <d v="2025-01-01T00:00:00"/>
    <d v="2025-01-01T00:00:00"/>
    <s v="Franchisee"/>
    <s v="FERRE HOTELS"/>
    <s v="Sophie CHOLLON"/>
    <x v="6"/>
    <n v="1.5"/>
    <n v="0.7"/>
    <s v="January"/>
    <n v="0.6"/>
    <s v="August"/>
    <n v="0.8"/>
    <x v="1"/>
    <x v="1"/>
    <s v="No"/>
    <s v="Yes"/>
    <n v="3"/>
    <s v="-"/>
    <n v="0"/>
    <s v="-"/>
    <n v="0.5"/>
    <n v="0.5"/>
    <n v="0.4"/>
    <n v="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D9DA6-9171-4175-BA0E-5E4617ED912A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:B40" firstHeaderRow="1" firstDataRow="1" firstDataCol="1"/>
  <pivotFields count="38">
    <pivotField dataField="1" showAll="0"/>
    <pivotField showAll="0"/>
    <pivotField axis="axisRow" showAll="0">
      <items count="7">
        <item x="4"/>
        <item m="1" x="5"/>
        <item x="2"/>
        <item x="1"/>
        <item x="3"/>
        <item x="0"/>
        <item t="default"/>
      </items>
    </pivotField>
    <pivotField showAll="0"/>
    <pivotField showAll="0"/>
    <pivotField axis="axisRow" showAll="0">
      <items count="11">
        <item m="1" x="7"/>
        <item m="1" x="8"/>
        <item m="1" x="9"/>
        <item x="2"/>
        <item x="0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numFmtId="9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numFmtId="9" showAll="0"/>
    <pivotField numFmtId="9" showAll="0"/>
  </pivotFields>
  <rowFields count="2">
    <field x="2"/>
    <field x="5"/>
  </rowFields>
  <rowItems count="38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3"/>
    </i>
    <i r="1">
      <x v="4"/>
    </i>
    <i r="1">
      <x v="5"/>
    </i>
    <i r="1">
      <x v="6"/>
    </i>
    <i r="1">
      <x v="7"/>
    </i>
    <i r="1">
      <x v="9"/>
    </i>
    <i>
      <x v="3"/>
    </i>
    <i r="1">
      <x v="3"/>
    </i>
    <i r="1">
      <x v="4"/>
    </i>
    <i r="1">
      <x v="5"/>
    </i>
    <i r="1">
      <x v="6"/>
    </i>
    <i r="1">
      <x v="7"/>
    </i>
    <i r="1">
      <x v="9"/>
    </i>
    <i>
      <x v="4"/>
    </i>
    <i r="1">
      <x v="3"/>
    </i>
    <i r="1">
      <x v="4"/>
    </i>
    <i r="1">
      <x v="5"/>
    </i>
    <i r="1">
      <x v="6"/>
    </i>
    <i r="1">
      <x v="8"/>
    </i>
    <i r="1">
      <x v="9"/>
    </i>
    <i>
      <x v="5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Nombre de CODE H" fld="0" subtotal="count" baseField="2" baseItem="0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5CAAC-F997-497F-BDFF-15B77CC8A66D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:F9" firstHeaderRow="1" firstDataRow="2" firstDataCol="1"/>
  <pivotFields count="38">
    <pivotField dataField="1" showAll="0"/>
    <pivotField showAll="0"/>
    <pivotField axis="axisRow" showAll="0">
      <items count="7">
        <item x="0"/>
        <item x="4"/>
        <item m="1" x="5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numFmtId="9" showAll="0"/>
    <pivotField showAll="0"/>
    <pivotField numFmtId="9"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numFmtId="9" showAll="0"/>
    <pivotField numFmtId="9" showAll="0"/>
  </pivotFields>
  <rowFields count="1">
    <field x="2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27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CODE H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7AE3E-088B-4642-8A26-6155654150E6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:F9" firstHeaderRow="1" firstDataRow="2" firstDataCol="1"/>
  <pivotFields count="38">
    <pivotField dataField="1" showAll="0"/>
    <pivotField showAll="0"/>
    <pivotField axis="axisRow" showAll="0">
      <items count="7">
        <item x="0"/>
        <item x="4"/>
        <item m="1" x="5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numFmtId="9" showAll="0"/>
    <pivotField showAll="0"/>
    <pivotField numFmtId="9" showAll="0"/>
    <pivotField axis="axisCol" showAll="0">
      <items count="5">
        <item x="1"/>
        <item x="0"/>
        <item x="2"/>
        <item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numFmtId="9" showAll="0"/>
    <pivotField numFmtId="9" showAll="0"/>
  </pivotFields>
  <rowFields count="1">
    <field x="2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CODE H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accor.com/api-portfolio?p=2" TargetMode="External"/><Relationship Id="rId2" Type="http://schemas.openxmlformats.org/officeDocument/2006/relationships/hyperlink" Target="https://developer.accor.com/api-portfolio?p=2" TargetMode="External"/><Relationship Id="rId1" Type="http://schemas.openxmlformats.org/officeDocument/2006/relationships/hyperlink" Target="https://developer.accor.com/api-portfolio?p=2" TargetMode="External"/><Relationship Id="rId4" Type="http://schemas.openxmlformats.org/officeDocument/2006/relationships/hyperlink" Target="https://developer.accor.com/api-portfolio?p=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BAA0-779D-4D2E-AFE9-1BD81C067295}">
  <sheetPr>
    <tabColor theme="1"/>
  </sheetPr>
  <dimension ref="B1:U62"/>
  <sheetViews>
    <sheetView showGridLines="0" tabSelected="1" zoomScaleNormal="100" workbookViewId="0">
      <pane ySplit="3" topLeftCell="A4" activePane="bottomLeft" state="frozen"/>
      <selection pane="bottomLeft" activeCell="B4" sqref="B4"/>
    </sheetView>
  </sheetViews>
  <sheetFormatPr baseColWidth="10" defaultColWidth="11.5546875" defaultRowHeight="14.4" x14ac:dyDescent="0.3"/>
  <cols>
    <col min="1" max="1" width="1.33203125" style="2" customWidth="1"/>
    <col min="2" max="2" width="10.88671875" style="2" customWidth="1"/>
    <col min="3" max="3" width="1.109375" style="2" customWidth="1"/>
    <col min="4" max="4" width="16.44140625" style="2" customWidth="1"/>
    <col min="5" max="6" width="9.88671875" style="2" customWidth="1"/>
    <col min="7" max="9" width="9.88671875" style="1" customWidth="1"/>
    <col min="10" max="10" width="3" style="2" customWidth="1"/>
    <col min="11" max="12" width="9.88671875" style="2" customWidth="1"/>
    <col min="13" max="15" width="9.88671875" style="1" customWidth="1"/>
    <col min="16" max="16" width="3" style="2" customWidth="1"/>
    <col min="17" max="18" width="9.88671875" style="2" customWidth="1"/>
    <col min="19" max="21" width="9.88671875" style="1" customWidth="1"/>
    <col min="22" max="16384" width="11.5546875" style="2"/>
  </cols>
  <sheetData>
    <row r="1" spans="2:21" ht="6.6" customHeight="1" x14ac:dyDescent="0.3"/>
    <row r="2" spans="2:21" ht="21.6" customHeight="1" x14ac:dyDescent="0.3">
      <c r="E2" s="181" t="s">
        <v>116</v>
      </c>
      <c r="F2" s="181"/>
      <c r="G2" s="181"/>
      <c r="H2" s="181"/>
      <c r="I2" s="181"/>
      <c r="K2" s="181" t="s">
        <v>117</v>
      </c>
      <c r="L2" s="181"/>
      <c r="M2" s="181"/>
      <c r="N2" s="181"/>
      <c r="O2" s="181"/>
      <c r="Q2" s="181" t="s">
        <v>118</v>
      </c>
      <c r="R2" s="181"/>
      <c r="S2" s="181"/>
      <c r="T2" s="181"/>
      <c r="U2" s="181"/>
    </row>
    <row r="3" spans="2:21" ht="7.2" customHeight="1" x14ac:dyDescent="0.3"/>
    <row r="4" spans="2:21" x14ac:dyDescent="0.3">
      <c r="B4" s="27" t="s">
        <v>196</v>
      </c>
      <c r="C4" s="80"/>
      <c r="D4" s="81" t="s">
        <v>119</v>
      </c>
      <c r="E4" s="82" t="s">
        <v>120</v>
      </c>
      <c r="K4" s="83" t="s">
        <v>121</v>
      </c>
      <c r="Q4" s="83" t="s">
        <v>121</v>
      </c>
    </row>
    <row r="5" spans="2:21" ht="5.4" customHeight="1" x14ac:dyDescent="0.3"/>
    <row r="6" spans="2:21" x14ac:dyDescent="0.3">
      <c r="F6" s="84" t="s">
        <v>122</v>
      </c>
      <c r="L6" s="84" t="s">
        <v>122</v>
      </c>
      <c r="R6" s="84" t="s">
        <v>122</v>
      </c>
    </row>
    <row r="7" spans="2:21" x14ac:dyDescent="0.3">
      <c r="E7" s="82" t="s">
        <v>123</v>
      </c>
      <c r="F7" s="84">
        <f>'NB CH 2'!C3</f>
        <v>45</v>
      </c>
      <c r="G7" s="84"/>
      <c r="K7" s="82" t="s">
        <v>123</v>
      </c>
      <c r="L7" s="84">
        <f>'NB CH 2'!C2-'NB CH 2'!C3</f>
        <v>297</v>
      </c>
      <c r="Q7" s="82" t="s">
        <v>123</v>
      </c>
      <c r="R7" s="84">
        <f>L7</f>
        <v>297</v>
      </c>
    </row>
    <row r="8" spans="2:21" x14ac:dyDescent="0.3">
      <c r="E8" s="82" t="s">
        <v>124</v>
      </c>
      <c r="F8" s="84">
        <f>'NB CH 2'!C11</f>
        <v>60</v>
      </c>
      <c r="G8" s="84"/>
      <c r="K8" s="82" t="s">
        <v>124</v>
      </c>
      <c r="L8" s="84">
        <f>'NB CH 2'!C10-'NB CH 2'!C11</f>
        <v>207</v>
      </c>
      <c r="Q8" s="82" t="s">
        <v>124</v>
      </c>
      <c r="R8" s="84">
        <f t="shared" ref="R8:R11" si="0">L8</f>
        <v>207</v>
      </c>
    </row>
    <row r="9" spans="2:21" x14ac:dyDescent="0.3">
      <c r="E9" s="82" t="s">
        <v>44</v>
      </c>
      <c r="F9" s="84">
        <f>'NB CH 2'!C19</f>
        <v>45</v>
      </c>
      <c r="G9" s="84"/>
      <c r="K9" s="82" t="s">
        <v>44</v>
      </c>
      <c r="L9" s="84">
        <f>'NB CH 2'!C18-'NB CH 2'!C19</f>
        <v>317</v>
      </c>
      <c r="Q9" s="82" t="s">
        <v>44</v>
      </c>
      <c r="R9" s="84">
        <f t="shared" si="0"/>
        <v>317</v>
      </c>
    </row>
    <row r="10" spans="2:21" x14ac:dyDescent="0.3">
      <c r="E10" s="82" t="s">
        <v>125</v>
      </c>
      <c r="F10" s="84">
        <v>0</v>
      </c>
      <c r="G10" s="84"/>
      <c r="K10" s="82" t="s">
        <v>125</v>
      </c>
      <c r="L10" s="84">
        <f>'NB CH 2'!C26-'NB CH 2'!C27</f>
        <v>117</v>
      </c>
      <c r="Q10" s="82" t="s">
        <v>125</v>
      </c>
      <c r="R10" s="84">
        <f t="shared" si="0"/>
        <v>117</v>
      </c>
    </row>
    <row r="11" spans="2:21" x14ac:dyDescent="0.3">
      <c r="E11" s="82" t="s">
        <v>126</v>
      </c>
      <c r="F11" s="84">
        <f>'NB CH 2'!C35</f>
        <v>28</v>
      </c>
      <c r="G11" s="84"/>
      <c r="K11" s="82" t="s">
        <v>126</v>
      </c>
      <c r="L11" s="85">
        <f>'NB CH 2'!C34-'NB CH 2'!C35</f>
        <v>227</v>
      </c>
      <c r="Q11" s="82" t="s">
        <v>126</v>
      </c>
      <c r="R11" s="84">
        <f t="shared" si="0"/>
        <v>227</v>
      </c>
    </row>
    <row r="12" spans="2:21" x14ac:dyDescent="0.3">
      <c r="E12" s="86" t="s">
        <v>106</v>
      </c>
      <c r="F12" s="87">
        <f>SUM(F7:F11)</f>
        <v>178</v>
      </c>
      <c r="G12" s="88">
        <f>F12/H12</f>
        <v>0.1325390915860015</v>
      </c>
      <c r="H12" s="95">
        <v>1343</v>
      </c>
      <c r="K12" s="86" t="s">
        <v>106</v>
      </c>
      <c r="L12" s="87">
        <f>SUM(L7:L11)</f>
        <v>1165</v>
      </c>
      <c r="M12" s="88">
        <f>L12/N12</f>
        <v>0.86746090841399848</v>
      </c>
      <c r="N12" s="95">
        <v>1343</v>
      </c>
      <c r="Q12" s="86" t="s">
        <v>106</v>
      </c>
      <c r="R12" s="87">
        <f>SUM(R7:R11)</f>
        <v>1165</v>
      </c>
      <c r="S12" s="88">
        <f>R12/T12</f>
        <v>0.86746090841399848</v>
      </c>
      <c r="T12" s="95">
        <v>1343</v>
      </c>
    </row>
    <row r="13" spans="2:21" x14ac:dyDescent="0.3">
      <c r="G13" s="2"/>
      <c r="H13" s="2"/>
      <c r="I13" s="2"/>
    </row>
    <row r="14" spans="2:21" ht="14.4" customHeight="1" x14ac:dyDescent="0.3">
      <c r="G14" s="2"/>
      <c r="H14" s="2"/>
      <c r="I14" s="2"/>
      <c r="Q14" s="91"/>
      <c r="R14" s="91"/>
      <c r="S14" s="91"/>
    </row>
    <row r="15" spans="2:21" ht="14.4" customHeight="1" x14ac:dyDescent="0.3">
      <c r="B15" s="27" t="s">
        <v>197</v>
      </c>
      <c r="D15" s="83" t="s">
        <v>127</v>
      </c>
      <c r="G15" s="2"/>
      <c r="H15" s="2"/>
      <c r="I15" s="2"/>
      <c r="Q15" s="91"/>
      <c r="R15" s="91"/>
      <c r="S15" s="91"/>
    </row>
    <row r="16" spans="2:21" x14ac:dyDescent="0.3">
      <c r="D16" s="83" t="s">
        <v>128</v>
      </c>
      <c r="K16" s="176" t="s">
        <v>129</v>
      </c>
      <c r="L16" s="176"/>
      <c r="M16" s="176"/>
      <c r="Q16" s="177" t="s">
        <v>130</v>
      </c>
      <c r="R16" s="177"/>
      <c r="S16" s="177"/>
    </row>
    <row r="17" spans="2:20" ht="5.4" customHeight="1" x14ac:dyDescent="0.3"/>
    <row r="18" spans="2:20" x14ac:dyDescent="0.3">
      <c r="L18" s="84" t="s">
        <v>122</v>
      </c>
      <c r="R18" s="84" t="s">
        <v>122</v>
      </c>
    </row>
    <row r="19" spans="2:20" x14ac:dyDescent="0.3">
      <c r="K19" s="82" t="s">
        <v>123</v>
      </c>
      <c r="L19" s="84">
        <v>0</v>
      </c>
      <c r="Q19" s="102" t="s">
        <v>123</v>
      </c>
      <c r="R19" s="103">
        <f>L7</f>
        <v>297</v>
      </c>
    </row>
    <row r="20" spans="2:20" ht="14.4" customHeight="1" x14ac:dyDescent="0.3">
      <c r="G20" s="173" t="s">
        <v>131</v>
      </c>
      <c r="H20" s="173"/>
      <c r="I20" s="173"/>
      <c r="J20" s="173"/>
      <c r="K20" s="82" t="s">
        <v>124</v>
      </c>
      <c r="L20" s="84">
        <v>0</v>
      </c>
      <c r="Q20" s="102" t="s">
        <v>124</v>
      </c>
      <c r="R20" s="103">
        <f t="shared" ref="R20:R21" si="1">L8</f>
        <v>207</v>
      </c>
    </row>
    <row r="21" spans="2:20" ht="14.4" customHeight="1" x14ac:dyDescent="0.3">
      <c r="G21" s="173"/>
      <c r="H21" s="173"/>
      <c r="I21" s="173"/>
      <c r="J21" s="173"/>
      <c r="K21" s="82" t="s">
        <v>44</v>
      </c>
      <c r="L21" s="84">
        <v>0</v>
      </c>
      <c r="Q21" s="102" t="s">
        <v>44</v>
      </c>
      <c r="R21" s="103">
        <f t="shared" si="1"/>
        <v>317</v>
      </c>
    </row>
    <row r="22" spans="2:20" ht="14.4" customHeight="1" x14ac:dyDescent="0.3">
      <c r="E22" s="102" t="s">
        <v>125</v>
      </c>
      <c r="F22" s="103">
        <f>L22</f>
        <v>117</v>
      </c>
      <c r="G22" s="173"/>
      <c r="H22" s="173"/>
      <c r="I22" s="173"/>
      <c r="J22" s="173"/>
      <c r="K22" s="102" t="s">
        <v>125</v>
      </c>
      <c r="L22" s="103">
        <f>L10</f>
        <v>117</v>
      </c>
      <c r="N22" s="2"/>
      <c r="O22" s="2"/>
      <c r="Q22" s="82" t="s">
        <v>125</v>
      </c>
      <c r="R22" s="84">
        <v>0</v>
      </c>
      <c r="T22" s="2"/>
    </row>
    <row r="23" spans="2:20" ht="14.4" customHeight="1" x14ac:dyDescent="0.3">
      <c r="E23" s="102" t="s">
        <v>126</v>
      </c>
      <c r="F23" s="104">
        <f>L23</f>
        <v>227</v>
      </c>
      <c r="G23" s="173"/>
      <c r="H23" s="173"/>
      <c r="I23" s="173"/>
      <c r="J23" s="173"/>
      <c r="K23" s="102" t="s">
        <v>126</v>
      </c>
      <c r="L23" s="104">
        <f>L11</f>
        <v>227</v>
      </c>
      <c r="Q23" s="82" t="s">
        <v>126</v>
      </c>
      <c r="R23" s="84">
        <v>0</v>
      </c>
    </row>
    <row r="24" spans="2:20" x14ac:dyDescent="0.3">
      <c r="E24" s="86" t="s">
        <v>106</v>
      </c>
      <c r="F24" s="87">
        <f>SUM(F19:F23)</f>
        <v>344</v>
      </c>
      <c r="G24" s="88">
        <f>F24/H24</f>
        <v>0.25614296351451971</v>
      </c>
      <c r="H24" s="95">
        <v>1343</v>
      </c>
      <c r="K24" s="86" t="s">
        <v>106</v>
      </c>
      <c r="L24" s="87">
        <f>SUM(L19:L23)</f>
        <v>344</v>
      </c>
      <c r="M24" s="88">
        <f>L24/N24</f>
        <v>0.25614296351451971</v>
      </c>
      <c r="N24" s="95">
        <v>1343</v>
      </c>
      <c r="Q24" s="86" t="s">
        <v>106</v>
      </c>
      <c r="R24" s="87">
        <f>SUM(R19:R23)</f>
        <v>821</v>
      </c>
      <c r="S24" s="88">
        <f>R24/T24</f>
        <v>0.61131794489947877</v>
      </c>
      <c r="T24" s="95">
        <v>1343</v>
      </c>
    </row>
    <row r="25" spans="2:20" x14ac:dyDescent="0.3">
      <c r="E25" s="89"/>
      <c r="F25" s="90"/>
    </row>
    <row r="26" spans="2:20" ht="14.4" customHeight="1" x14ac:dyDescent="0.3">
      <c r="Q26" s="91"/>
      <c r="R26" s="91"/>
      <c r="S26" s="91"/>
    </row>
    <row r="27" spans="2:20" ht="14.4" customHeight="1" x14ac:dyDescent="0.3">
      <c r="B27" s="27" t="s">
        <v>198</v>
      </c>
      <c r="D27" s="83" t="s">
        <v>132</v>
      </c>
      <c r="E27" s="89"/>
      <c r="F27" s="90"/>
      <c r="Q27" s="91"/>
      <c r="R27" s="91"/>
      <c r="S27" s="91"/>
    </row>
    <row r="28" spans="2:20" x14ac:dyDescent="0.3">
      <c r="D28" s="83" t="s">
        <v>133</v>
      </c>
      <c r="E28" s="82"/>
      <c r="F28" s="90"/>
      <c r="K28" s="175" t="s">
        <v>134</v>
      </c>
      <c r="L28" s="175"/>
      <c r="M28" s="175"/>
      <c r="Q28" s="175" t="s">
        <v>135</v>
      </c>
      <c r="R28" s="175"/>
      <c r="S28" s="175"/>
    </row>
    <row r="29" spans="2:20" ht="5.4" customHeight="1" x14ac:dyDescent="0.3"/>
    <row r="30" spans="2:20" x14ac:dyDescent="0.3">
      <c r="E30" s="89"/>
      <c r="F30" s="90"/>
      <c r="L30" s="84" t="s">
        <v>122</v>
      </c>
      <c r="N30" s="2"/>
      <c r="R30" s="84" t="s">
        <v>122</v>
      </c>
      <c r="T30" s="2"/>
    </row>
    <row r="31" spans="2:20" x14ac:dyDescent="0.3">
      <c r="E31" s="89"/>
      <c r="F31" s="90"/>
      <c r="K31" s="82" t="s">
        <v>123</v>
      </c>
      <c r="L31" s="85">
        <f>$R$19*M31</f>
        <v>29.700000000000003</v>
      </c>
      <c r="M31" s="97">
        <v>0.1</v>
      </c>
      <c r="N31" s="2"/>
      <c r="Q31" s="82" t="s">
        <v>123</v>
      </c>
      <c r="R31" s="85">
        <f>$R$19*S31</f>
        <v>267.3</v>
      </c>
      <c r="S31" s="96">
        <f>100%-M31</f>
        <v>0.9</v>
      </c>
      <c r="T31" s="2"/>
    </row>
    <row r="32" spans="2:20" x14ac:dyDescent="0.3">
      <c r="E32" s="89"/>
      <c r="F32" s="90"/>
      <c r="K32" s="82" t="s">
        <v>124</v>
      </c>
      <c r="L32" s="85">
        <f>$R$20*M32</f>
        <v>62.099999999999994</v>
      </c>
      <c r="M32" s="98">
        <v>0.3</v>
      </c>
      <c r="N32" s="2"/>
      <c r="Q32" s="82" t="s">
        <v>124</v>
      </c>
      <c r="R32" s="85">
        <f>$R$20*S32</f>
        <v>144.89999999999998</v>
      </c>
      <c r="S32" s="96">
        <f t="shared" ref="S32:S33" si="2">100%-M32</f>
        <v>0.7</v>
      </c>
      <c r="T32" s="2"/>
    </row>
    <row r="33" spans="2:21" x14ac:dyDescent="0.3">
      <c r="E33" s="89"/>
      <c r="F33" s="90"/>
      <c r="K33" s="82" t="s">
        <v>44</v>
      </c>
      <c r="L33" s="85">
        <f>$R$21*M33</f>
        <v>63.400000000000006</v>
      </c>
      <c r="M33" s="98">
        <v>0.2</v>
      </c>
      <c r="N33" s="2"/>
      <c r="Q33" s="82" t="s">
        <v>44</v>
      </c>
      <c r="R33" s="85">
        <f>$R$21*S33</f>
        <v>253.60000000000002</v>
      </c>
      <c r="S33" s="96">
        <f t="shared" si="2"/>
        <v>0.8</v>
      </c>
      <c r="T33" s="2"/>
    </row>
    <row r="34" spans="2:21" x14ac:dyDescent="0.3">
      <c r="E34" s="7"/>
      <c r="K34" s="86" t="s">
        <v>106</v>
      </c>
      <c r="L34" s="94">
        <f>SUM(L31:L33)</f>
        <v>155.19999999999999</v>
      </c>
      <c r="M34" s="88">
        <f>L34/N34</f>
        <v>0.11556217423678332</v>
      </c>
      <c r="N34" s="95">
        <v>1343</v>
      </c>
      <c r="Q34" s="86" t="s">
        <v>106</v>
      </c>
      <c r="R34" s="94">
        <f>SUM(R31:R33)</f>
        <v>665.8</v>
      </c>
      <c r="S34" s="88">
        <f>R34/T34</f>
        <v>0.49575577066269544</v>
      </c>
      <c r="T34" s="95">
        <v>1343</v>
      </c>
    </row>
    <row r="35" spans="2:21" x14ac:dyDescent="0.3">
      <c r="E35" s="7"/>
      <c r="K35" s="89"/>
      <c r="L35" s="90"/>
      <c r="M35" s="92"/>
      <c r="N35" s="93"/>
    </row>
    <row r="36" spans="2:21" ht="43.95" customHeight="1" x14ac:dyDescent="0.3">
      <c r="B36" s="178" t="s">
        <v>195</v>
      </c>
      <c r="C36" s="179"/>
      <c r="D36" s="179"/>
      <c r="E36" s="179"/>
      <c r="F36" s="179"/>
      <c r="G36" s="179" t="s">
        <v>136</v>
      </c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80"/>
    </row>
    <row r="37" spans="2:21" x14ac:dyDescent="0.3">
      <c r="E37" s="7"/>
      <c r="K37" s="89"/>
      <c r="L37" s="90"/>
      <c r="M37" s="92"/>
      <c r="N37" s="93"/>
    </row>
    <row r="38" spans="2:21" x14ac:dyDescent="0.3">
      <c r="Q38" s="175" t="s">
        <v>137</v>
      </c>
      <c r="R38" s="175"/>
      <c r="S38" s="175"/>
    </row>
    <row r="39" spans="2:21" x14ac:dyDescent="0.3">
      <c r="E39" s="89"/>
      <c r="F39" s="90"/>
    </row>
    <row r="40" spans="2:21" ht="14.4" customHeight="1" x14ac:dyDescent="0.3">
      <c r="E40" s="82"/>
      <c r="Q40" s="91"/>
      <c r="R40" s="91"/>
      <c r="S40" s="91"/>
    </row>
    <row r="41" spans="2:21" ht="14.4" customHeight="1" x14ac:dyDescent="0.3">
      <c r="E41" s="89"/>
      <c r="F41" s="90"/>
      <c r="Q41" s="91"/>
      <c r="R41" s="91"/>
      <c r="S41" s="91"/>
    </row>
    <row r="42" spans="2:21" x14ac:dyDescent="0.3">
      <c r="B42" s="27" t="s">
        <v>199</v>
      </c>
      <c r="D42" s="83" t="s">
        <v>138</v>
      </c>
      <c r="E42" s="89"/>
      <c r="F42" s="90"/>
      <c r="K42" s="176" t="s">
        <v>129</v>
      </c>
      <c r="L42" s="176"/>
      <c r="M42" s="176"/>
      <c r="Q42" s="177" t="s">
        <v>130</v>
      </c>
      <c r="R42" s="177"/>
      <c r="S42" s="177"/>
    </row>
    <row r="43" spans="2:21" ht="5.4" customHeight="1" x14ac:dyDescent="0.3"/>
    <row r="44" spans="2:21" x14ac:dyDescent="0.3">
      <c r="E44" s="7"/>
      <c r="L44" s="84" t="s">
        <v>122</v>
      </c>
      <c r="N44" s="2"/>
      <c r="R44" s="84" t="s">
        <v>122</v>
      </c>
      <c r="T44" s="2"/>
    </row>
    <row r="45" spans="2:21" x14ac:dyDescent="0.3">
      <c r="E45" s="7"/>
      <c r="K45" s="82" t="s">
        <v>123</v>
      </c>
      <c r="L45" s="85">
        <f>$R$31*M45</f>
        <v>106.92000000000002</v>
      </c>
      <c r="M45" s="97">
        <v>0.4</v>
      </c>
      <c r="N45" s="2"/>
      <c r="Q45" s="82" t="s">
        <v>123</v>
      </c>
      <c r="R45" s="85">
        <f>$R$31*S45</f>
        <v>160.38</v>
      </c>
      <c r="S45" s="96">
        <f>100%-M45</f>
        <v>0.6</v>
      </c>
      <c r="T45" s="2"/>
    </row>
    <row r="46" spans="2:21" x14ac:dyDescent="0.3">
      <c r="E46" s="7"/>
      <c r="K46" s="82" t="s">
        <v>124</v>
      </c>
      <c r="L46" s="85">
        <f>$R$32*M46</f>
        <v>72.449999999999989</v>
      </c>
      <c r="M46" s="98">
        <v>0.5</v>
      </c>
      <c r="N46" s="2"/>
      <c r="Q46" s="82" t="s">
        <v>124</v>
      </c>
      <c r="R46" s="85">
        <f>$R$32*S46</f>
        <v>72.449999999999989</v>
      </c>
      <c r="S46" s="96">
        <f t="shared" ref="S46" si="3">100%-M46</f>
        <v>0.5</v>
      </c>
      <c r="T46" s="2"/>
    </row>
    <row r="47" spans="2:21" x14ac:dyDescent="0.3">
      <c r="E47" s="7"/>
      <c r="K47" s="82" t="s">
        <v>44</v>
      </c>
      <c r="L47" s="85">
        <f>$R$33*M47</f>
        <v>152.16</v>
      </c>
      <c r="M47" s="98">
        <v>0.6</v>
      </c>
      <c r="N47" s="2"/>
      <c r="Q47" s="82" t="s">
        <v>44</v>
      </c>
      <c r="R47" s="85">
        <f>$R$33*S47</f>
        <v>101.44000000000001</v>
      </c>
      <c r="S47" s="96">
        <f>100%-M47</f>
        <v>0.4</v>
      </c>
      <c r="T47" s="2"/>
    </row>
    <row r="48" spans="2:21" x14ac:dyDescent="0.3">
      <c r="E48" s="7"/>
      <c r="K48" s="86" t="s">
        <v>106</v>
      </c>
      <c r="L48" s="94">
        <f>SUM(L45:L47)</f>
        <v>331.53</v>
      </c>
      <c r="M48" s="88">
        <f>L48/N48</f>
        <v>0.24685778108711837</v>
      </c>
      <c r="N48" s="95">
        <v>1343</v>
      </c>
      <c r="Q48" s="86" t="s">
        <v>106</v>
      </c>
      <c r="R48" s="94">
        <f>SUM(R45:R47)</f>
        <v>334.27</v>
      </c>
      <c r="S48" s="88">
        <f>R48/T48</f>
        <v>0.24889798957557704</v>
      </c>
      <c r="T48" s="95">
        <v>1343</v>
      </c>
    </row>
    <row r="49" spans="2:21" x14ac:dyDescent="0.3">
      <c r="E49" s="89"/>
      <c r="F49" s="90"/>
    </row>
    <row r="50" spans="2:21" ht="14.4" customHeight="1" x14ac:dyDescent="0.3">
      <c r="E50" s="82"/>
      <c r="Q50" s="91"/>
      <c r="R50" s="91"/>
      <c r="S50" s="91"/>
    </row>
    <row r="51" spans="2:21" ht="14.4" customHeight="1" x14ac:dyDescent="0.3">
      <c r="E51" s="89"/>
      <c r="F51" s="90"/>
      <c r="Q51" s="91"/>
      <c r="R51" s="91"/>
      <c r="S51" s="91"/>
    </row>
    <row r="52" spans="2:21" x14ac:dyDescent="0.3">
      <c r="B52" s="27" t="s">
        <v>200</v>
      </c>
      <c r="D52" s="83" t="s">
        <v>139</v>
      </c>
      <c r="E52" s="89"/>
      <c r="F52" s="90"/>
      <c r="K52" s="175" t="s">
        <v>140</v>
      </c>
      <c r="L52" s="175"/>
      <c r="M52" s="175"/>
      <c r="Q52" s="175" t="s">
        <v>141</v>
      </c>
      <c r="R52" s="175"/>
      <c r="S52" s="175"/>
    </row>
    <row r="53" spans="2:21" ht="5.4" customHeight="1" x14ac:dyDescent="0.3"/>
    <row r="54" spans="2:21" x14ac:dyDescent="0.3">
      <c r="E54" s="7"/>
      <c r="L54" s="84" t="s">
        <v>122</v>
      </c>
      <c r="N54" s="2"/>
      <c r="R54" s="84" t="s">
        <v>122</v>
      </c>
      <c r="T54" s="2"/>
    </row>
    <row r="55" spans="2:21" x14ac:dyDescent="0.3">
      <c r="E55" s="7"/>
      <c r="K55" s="82" t="s">
        <v>123</v>
      </c>
      <c r="L55" s="85">
        <f>$R$45*M55</f>
        <v>64.152000000000001</v>
      </c>
      <c r="M55" s="97">
        <v>0.4</v>
      </c>
      <c r="N55" s="2"/>
      <c r="Q55" s="82" t="s">
        <v>123</v>
      </c>
      <c r="R55" s="85">
        <f>$R$45*S55</f>
        <v>96.227999999999994</v>
      </c>
      <c r="S55" s="96">
        <f>100%-M55</f>
        <v>0.6</v>
      </c>
      <c r="T55" s="2"/>
    </row>
    <row r="56" spans="2:21" x14ac:dyDescent="0.3">
      <c r="E56" s="7"/>
      <c r="K56" s="82" t="s">
        <v>124</v>
      </c>
      <c r="L56" s="85">
        <f>$R$46*M56</f>
        <v>21.734999999999996</v>
      </c>
      <c r="M56" s="98">
        <v>0.3</v>
      </c>
      <c r="N56" s="2"/>
      <c r="Q56" s="82" t="s">
        <v>124</v>
      </c>
      <c r="R56" s="85">
        <f>$R$46*S56</f>
        <v>50.714999999999989</v>
      </c>
      <c r="S56" s="96">
        <f>100%-M56</f>
        <v>0.7</v>
      </c>
      <c r="T56" s="2"/>
    </row>
    <row r="57" spans="2:21" x14ac:dyDescent="0.3">
      <c r="E57" s="7"/>
      <c r="K57" s="82" t="s">
        <v>44</v>
      </c>
      <c r="L57" s="85">
        <f>$R$47*M57</f>
        <v>20.288000000000004</v>
      </c>
      <c r="M57" s="98">
        <v>0.2</v>
      </c>
      <c r="N57" s="2"/>
      <c r="Q57" s="82" t="s">
        <v>44</v>
      </c>
      <c r="R57" s="85">
        <f>$R$47*S57</f>
        <v>81.152000000000015</v>
      </c>
      <c r="S57" s="96">
        <f>100%-M57</f>
        <v>0.8</v>
      </c>
      <c r="T57" s="2"/>
    </row>
    <row r="58" spans="2:21" x14ac:dyDescent="0.3">
      <c r="E58" s="7"/>
      <c r="K58" s="86" t="s">
        <v>106</v>
      </c>
      <c r="L58" s="94">
        <f>SUM(L55:L57)</f>
        <v>106.17500000000001</v>
      </c>
      <c r="M58" s="88">
        <f>L58/N58</f>
        <v>7.9058078927773653E-2</v>
      </c>
      <c r="N58" s="95">
        <v>1343</v>
      </c>
      <c r="Q58" s="86" t="s">
        <v>106</v>
      </c>
      <c r="R58" s="94">
        <f>SUM(R55:R57)</f>
        <v>228.095</v>
      </c>
      <c r="S58" s="88">
        <f>R58/T58</f>
        <v>0.16983991064780343</v>
      </c>
      <c r="T58" s="95">
        <v>1343</v>
      </c>
    </row>
    <row r="59" spans="2:21" x14ac:dyDescent="0.3">
      <c r="E59" s="7"/>
      <c r="K59" s="89"/>
      <c r="L59" s="99"/>
      <c r="M59" s="92"/>
      <c r="N59" s="95"/>
      <c r="Q59" s="89"/>
      <c r="R59" s="99"/>
      <c r="S59" s="92"/>
      <c r="T59" s="95"/>
    </row>
    <row r="60" spans="2:21" ht="21.6" customHeight="1" x14ac:dyDescent="0.3">
      <c r="B60" s="101" t="s">
        <v>142</v>
      </c>
      <c r="C60" s="100"/>
      <c r="D60" s="100"/>
      <c r="E60" s="174">
        <f>F12</f>
        <v>178</v>
      </c>
      <c r="F60" s="174"/>
      <c r="G60" s="174"/>
      <c r="H60" s="174"/>
      <c r="I60" s="174"/>
      <c r="K60" s="174">
        <f>SUM(L24,L34,L48,L58)</f>
        <v>936.90499999999997</v>
      </c>
      <c r="L60" s="174"/>
      <c r="M60" s="174"/>
      <c r="N60" s="174"/>
      <c r="O60" s="174"/>
      <c r="Q60" s="174">
        <f>R58</f>
        <v>228.095</v>
      </c>
      <c r="R60" s="174"/>
      <c r="S60" s="174"/>
      <c r="T60" s="174"/>
      <c r="U60" s="174"/>
    </row>
    <row r="61" spans="2:21" ht="6" customHeight="1" x14ac:dyDescent="0.3">
      <c r="E61" s="7"/>
      <c r="K61" s="89"/>
      <c r="L61" s="99"/>
      <c r="M61" s="92"/>
      <c r="N61" s="95"/>
      <c r="Q61" s="89"/>
      <c r="R61" s="99"/>
      <c r="S61" s="92"/>
      <c r="T61" s="95"/>
    </row>
    <row r="62" spans="2:21" ht="21.6" customHeight="1" x14ac:dyDescent="0.3">
      <c r="B62" s="101" t="s">
        <v>143</v>
      </c>
      <c r="C62" s="100"/>
      <c r="D62" s="100"/>
      <c r="E62" s="174">
        <f>SUM(E60,K60,Q60)</f>
        <v>1343</v>
      </c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</row>
  </sheetData>
  <mergeCells count="19">
    <mergeCell ref="E2:I2"/>
    <mergeCell ref="K2:O2"/>
    <mergeCell ref="Q2:U2"/>
    <mergeCell ref="K16:M16"/>
    <mergeCell ref="Q16:S16"/>
    <mergeCell ref="G20:J23"/>
    <mergeCell ref="E60:I60"/>
    <mergeCell ref="K60:O60"/>
    <mergeCell ref="Q60:U60"/>
    <mergeCell ref="E62:U62"/>
    <mergeCell ref="K52:M52"/>
    <mergeCell ref="Q52:S52"/>
    <mergeCell ref="K42:M42"/>
    <mergeCell ref="Q42:S42"/>
    <mergeCell ref="Q38:S38"/>
    <mergeCell ref="K28:M28"/>
    <mergeCell ref="Q28:S28"/>
    <mergeCell ref="B36:F36"/>
    <mergeCell ref="G36:U36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EC18-D422-452E-9F50-7929B958C55A}">
  <sheetPr>
    <tabColor theme="9"/>
  </sheetPr>
  <dimension ref="A2:B40"/>
  <sheetViews>
    <sheetView showGridLines="0" workbookViewId="0"/>
  </sheetViews>
  <sheetFormatPr baseColWidth="10" defaultColWidth="11.44140625" defaultRowHeight="14.4" x14ac:dyDescent="0.3"/>
  <cols>
    <col min="1" max="1" width="19.88671875" bestFit="1" customWidth="1"/>
    <col min="2" max="2" width="17.109375" bestFit="1" customWidth="1"/>
    <col min="3" max="4" width="17" bestFit="1" customWidth="1"/>
    <col min="5" max="5" width="13.33203125" bestFit="1" customWidth="1"/>
    <col min="6" max="6" width="11.5546875" bestFit="1" customWidth="1"/>
    <col min="7" max="7" width="14.88671875" bestFit="1" customWidth="1"/>
    <col min="8" max="9" width="17" bestFit="1" customWidth="1"/>
    <col min="10" max="10" width="13.33203125" bestFit="1" customWidth="1"/>
    <col min="11" max="11" width="15.6640625" bestFit="1" customWidth="1"/>
    <col min="12" max="12" width="14.88671875" bestFit="1" customWidth="1"/>
    <col min="13" max="13" width="17" bestFit="1" customWidth="1"/>
    <col min="14" max="14" width="13.33203125" bestFit="1" customWidth="1"/>
    <col min="15" max="15" width="15.109375" bestFit="1" customWidth="1"/>
    <col min="16" max="16" width="14.88671875" bestFit="1" customWidth="1"/>
    <col min="17" max="18" width="17" bestFit="1" customWidth="1"/>
    <col min="19" max="19" width="13.33203125" bestFit="1" customWidth="1"/>
    <col min="20" max="20" width="13.5546875" bestFit="1" customWidth="1"/>
    <col min="21" max="21" width="14.88671875" bestFit="1" customWidth="1"/>
    <col min="22" max="23" width="17" bestFit="1" customWidth="1"/>
    <col min="24" max="25" width="13.33203125" bestFit="1" customWidth="1"/>
  </cols>
  <sheetData>
    <row r="2" spans="1:2" x14ac:dyDescent="0.3">
      <c r="A2" s="22" t="s">
        <v>103</v>
      </c>
      <c r="B2" s="23" t="s">
        <v>104</v>
      </c>
    </row>
    <row r="3" spans="1:2" x14ac:dyDescent="0.3">
      <c r="A3" s="23" t="s">
        <v>66</v>
      </c>
      <c r="B3" s="23">
        <v>342</v>
      </c>
    </row>
    <row r="4" spans="1:2" x14ac:dyDescent="0.3">
      <c r="A4" s="26" t="s">
        <v>49</v>
      </c>
      <c r="B4" s="23">
        <v>1</v>
      </c>
    </row>
    <row r="5" spans="1:2" x14ac:dyDescent="0.3">
      <c r="A5" s="26" t="s">
        <v>45</v>
      </c>
      <c r="B5" s="23">
        <v>252</v>
      </c>
    </row>
    <row r="6" spans="1:2" x14ac:dyDescent="0.3">
      <c r="A6" s="26" t="s">
        <v>48</v>
      </c>
      <c r="B6" s="23">
        <v>31</v>
      </c>
    </row>
    <row r="7" spans="1:2" x14ac:dyDescent="0.3">
      <c r="A7" s="26" t="s">
        <v>50</v>
      </c>
      <c r="B7" s="23">
        <v>7</v>
      </c>
    </row>
    <row r="8" spans="1:2" x14ac:dyDescent="0.3">
      <c r="A8" s="26" t="s">
        <v>58</v>
      </c>
      <c r="B8" s="23">
        <v>45</v>
      </c>
    </row>
    <row r="9" spans="1:2" x14ac:dyDescent="0.3">
      <c r="A9" s="26" t="s">
        <v>59</v>
      </c>
      <c r="B9" s="23">
        <v>3</v>
      </c>
    </row>
    <row r="10" spans="1:2" x14ac:dyDescent="0.3">
      <c r="A10" s="26" t="s">
        <v>63</v>
      </c>
      <c r="B10" s="23">
        <v>3</v>
      </c>
    </row>
    <row r="11" spans="1:2" x14ac:dyDescent="0.3">
      <c r="A11" s="23" t="s">
        <v>47</v>
      </c>
      <c r="B11" s="23">
        <v>267</v>
      </c>
    </row>
    <row r="12" spans="1:2" x14ac:dyDescent="0.3">
      <c r="A12" s="26" t="s">
        <v>49</v>
      </c>
      <c r="B12" s="23">
        <v>3</v>
      </c>
    </row>
    <row r="13" spans="1:2" x14ac:dyDescent="0.3">
      <c r="A13" s="26" t="s">
        <v>45</v>
      </c>
      <c r="B13" s="23">
        <v>174</v>
      </c>
    </row>
    <row r="14" spans="1:2" x14ac:dyDescent="0.3">
      <c r="A14" s="26" t="s">
        <v>48</v>
      </c>
      <c r="B14" s="23">
        <v>26</v>
      </c>
    </row>
    <row r="15" spans="1:2" x14ac:dyDescent="0.3">
      <c r="A15" s="26" t="s">
        <v>50</v>
      </c>
      <c r="B15" s="23">
        <v>3</v>
      </c>
    </row>
    <row r="16" spans="1:2" x14ac:dyDescent="0.3">
      <c r="A16" s="26" t="s">
        <v>58</v>
      </c>
      <c r="B16" s="23">
        <v>60</v>
      </c>
    </row>
    <row r="17" spans="1:2" x14ac:dyDescent="0.3">
      <c r="A17" s="26" t="s">
        <v>63</v>
      </c>
      <c r="B17" s="23">
        <v>1</v>
      </c>
    </row>
    <row r="18" spans="1:2" x14ac:dyDescent="0.3">
      <c r="A18" s="23" t="s">
        <v>46</v>
      </c>
      <c r="B18" s="23">
        <v>255</v>
      </c>
    </row>
    <row r="19" spans="1:2" x14ac:dyDescent="0.3">
      <c r="A19" s="26" t="s">
        <v>49</v>
      </c>
      <c r="B19" s="23">
        <v>7</v>
      </c>
    </row>
    <row r="20" spans="1:2" x14ac:dyDescent="0.3">
      <c r="A20" s="26" t="s">
        <v>45</v>
      </c>
      <c r="B20" s="23">
        <v>155</v>
      </c>
    </row>
    <row r="21" spans="1:2" x14ac:dyDescent="0.3">
      <c r="A21" s="26" t="s">
        <v>48</v>
      </c>
      <c r="B21" s="23">
        <v>45</v>
      </c>
    </row>
    <row r="22" spans="1:2" x14ac:dyDescent="0.3">
      <c r="A22" s="26" t="s">
        <v>50</v>
      </c>
      <c r="B22" s="23">
        <v>15</v>
      </c>
    </row>
    <row r="23" spans="1:2" x14ac:dyDescent="0.3">
      <c r="A23" s="26" t="s">
        <v>58</v>
      </c>
      <c r="B23" s="23">
        <v>28</v>
      </c>
    </row>
    <row r="24" spans="1:2" x14ac:dyDescent="0.3">
      <c r="A24" s="26" t="s">
        <v>63</v>
      </c>
      <c r="B24" s="23">
        <v>5</v>
      </c>
    </row>
    <row r="25" spans="1:2" x14ac:dyDescent="0.3">
      <c r="A25" s="23" t="s">
        <v>51</v>
      </c>
      <c r="B25" s="23">
        <v>117</v>
      </c>
    </row>
    <row r="26" spans="1:2" x14ac:dyDescent="0.3">
      <c r="A26" s="26" t="s">
        <v>49</v>
      </c>
      <c r="B26" s="23">
        <v>2</v>
      </c>
    </row>
    <row r="27" spans="1:2" x14ac:dyDescent="0.3">
      <c r="A27" s="26" t="s">
        <v>45</v>
      </c>
      <c r="B27" s="23">
        <v>37</v>
      </c>
    </row>
    <row r="28" spans="1:2" x14ac:dyDescent="0.3">
      <c r="A28" s="26" t="s">
        <v>48</v>
      </c>
      <c r="B28" s="23">
        <v>57</v>
      </c>
    </row>
    <row r="29" spans="1:2" x14ac:dyDescent="0.3">
      <c r="A29" s="26" t="s">
        <v>50</v>
      </c>
      <c r="B29" s="23">
        <v>15</v>
      </c>
    </row>
    <row r="30" spans="1:2" x14ac:dyDescent="0.3">
      <c r="A30" s="26" t="s">
        <v>59</v>
      </c>
      <c r="B30" s="23">
        <v>4</v>
      </c>
    </row>
    <row r="31" spans="1:2" x14ac:dyDescent="0.3">
      <c r="A31" s="26" t="s">
        <v>63</v>
      </c>
      <c r="B31" s="23">
        <v>2</v>
      </c>
    </row>
    <row r="32" spans="1:2" x14ac:dyDescent="0.3">
      <c r="A32" s="23" t="s">
        <v>44</v>
      </c>
      <c r="B32" s="23">
        <v>362</v>
      </c>
    </row>
    <row r="33" spans="1:2" x14ac:dyDescent="0.3">
      <c r="A33" s="26" t="s">
        <v>49</v>
      </c>
      <c r="B33" s="23">
        <v>7</v>
      </c>
    </row>
    <row r="34" spans="1:2" x14ac:dyDescent="0.3">
      <c r="A34" s="26" t="s">
        <v>45</v>
      </c>
      <c r="B34" s="23">
        <v>247</v>
      </c>
    </row>
    <row r="35" spans="1:2" x14ac:dyDescent="0.3">
      <c r="A35" s="26" t="s">
        <v>48</v>
      </c>
      <c r="B35" s="23">
        <v>45</v>
      </c>
    </row>
    <row r="36" spans="1:2" x14ac:dyDescent="0.3">
      <c r="A36" s="26" t="s">
        <v>50</v>
      </c>
      <c r="B36" s="23">
        <v>11</v>
      </c>
    </row>
    <row r="37" spans="1:2" x14ac:dyDescent="0.3">
      <c r="A37" s="26" t="s">
        <v>58</v>
      </c>
      <c r="B37" s="23">
        <v>45</v>
      </c>
    </row>
    <row r="38" spans="1:2" x14ac:dyDescent="0.3">
      <c r="A38" s="26" t="s">
        <v>59</v>
      </c>
      <c r="B38" s="23">
        <v>4</v>
      </c>
    </row>
    <row r="39" spans="1:2" x14ac:dyDescent="0.3">
      <c r="A39" s="26" t="s">
        <v>63</v>
      </c>
      <c r="B39" s="23">
        <v>3</v>
      </c>
    </row>
    <row r="40" spans="1:2" x14ac:dyDescent="0.3">
      <c r="A40" s="25" t="s">
        <v>105</v>
      </c>
      <c r="B40" s="23">
        <v>1343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28E4-D191-4496-82D0-B9571BDB0ABD}">
  <sheetPr>
    <tabColor theme="9"/>
  </sheetPr>
  <dimension ref="B2:D62"/>
  <sheetViews>
    <sheetView showGridLines="0" zoomScale="110" zoomScaleNormal="110" zoomScaleSheetLayoutView="110" workbookViewId="0"/>
  </sheetViews>
  <sheetFormatPr baseColWidth="10" defaultColWidth="11.5546875" defaultRowHeight="14.4" x14ac:dyDescent="0.3"/>
  <cols>
    <col min="1" max="1" width="2.77734375" style="2" customWidth="1"/>
    <col min="2" max="2" width="19.109375" style="2" customWidth="1"/>
    <col min="3" max="3" width="8.5546875" style="76" customWidth="1"/>
    <col min="4" max="4" width="8.5546875" style="2" customWidth="1"/>
    <col min="5" max="16384" width="11.5546875" style="2"/>
  </cols>
  <sheetData>
    <row r="2" spans="2:4" x14ac:dyDescent="0.3">
      <c r="B2" s="27" t="s">
        <v>66</v>
      </c>
      <c r="C2" s="74">
        <v>342</v>
      </c>
      <c r="D2" s="72">
        <f>C2/$C$2</f>
        <v>1</v>
      </c>
    </row>
    <row r="3" spans="2:4" x14ac:dyDescent="0.3">
      <c r="B3" s="40" t="s">
        <v>58</v>
      </c>
      <c r="C3" s="75">
        <v>45</v>
      </c>
      <c r="D3" s="43">
        <f>C3/$C$2</f>
        <v>0.13157894736842105</v>
      </c>
    </row>
    <row r="4" spans="2:4" x14ac:dyDescent="0.3">
      <c r="B4" s="40" t="s">
        <v>45</v>
      </c>
      <c r="C4" s="75">
        <v>252</v>
      </c>
      <c r="D4" s="43">
        <f t="shared" ref="D4:D8" si="0">C4/$C$2</f>
        <v>0.73684210526315785</v>
      </c>
    </row>
    <row r="5" spans="2:4" x14ac:dyDescent="0.3">
      <c r="B5" s="28" t="s">
        <v>48</v>
      </c>
      <c r="C5" s="41">
        <v>31</v>
      </c>
      <c r="D5" s="42">
        <f t="shared" si="0"/>
        <v>9.0643274853801165E-2</v>
      </c>
    </row>
    <row r="6" spans="2:4" x14ac:dyDescent="0.3">
      <c r="B6" s="28" t="s">
        <v>50</v>
      </c>
      <c r="C6" s="41">
        <v>7</v>
      </c>
      <c r="D6" s="42">
        <f t="shared" si="0"/>
        <v>2.046783625730994E-2</v>
      </c>
    </row>
    <row r="7" spans="2:4" x14ac:dyDescent="0.3">
      <c r="B7" s="28" t="s">
        <v>63</v>
      </c>
      <c r="C7" s="41">
        <v>3</v>
      </c>
      <c r="D7" s="42">
        <f t="shared" si="0"/>
        <v>8.771929824561403E-3</v>
      </c>
    </row>
    <row r="8" spans="2:4" x14ac:dyDescent="0.3">
      <c r="B8" s="28" t="s">
        <v>59</v>
      </c>
      <c r="C8" s="41">
        <v>3</v>
      </c>
      <c r="D8" s="42">
        <f t="shared" si="0"/>
        <v>8.771929824561403E-3</v>
      </c>
    </row>
    <row r="9" spans="2:4" x14ac:dyDescent="0.3">
      <c r="B9" s="28" t="s">
        <v>49</v>
      </c>
      <c r="C9" s="41">
        <v>1</v>
      </c>
      <c r="D9" s="42">
        <f>C9/$C$2</f>
        <v>2.9239766081871343E-3</v>
      </c>
    </row>
    <row r="10" spans="2:4" x14ac:dyDescent="0.3">
      <c r="B10" s="27" t="s">
        <v>47</v>
      </c>
      <c r="C10" s="74">
        <v>267</v>
      </c>
      <c r="D10" s="72">
        <f>C10/$C$10</f>
        <v>1</v>
      </c>
    </row>
    <row r="11" spans="2:4" x14ac:dyDescent="0.3">
      <c r="B11" s="40" t="s">
        <v>58</v>
      </c>
      <c r="C11" s="75">
        <v>60</v>
      </c>
      <c r="D11" s="43">
        <f>C11/$C$10</f>
        <v>0.2247191011235955</v>
      </c>
    </row>
    <row r="12" spans="2:4" x14ac:dyDescent="0.3">
      <c r="B12" s="40" t="s">
        <v>45</v>
      </c>
      <c r="C12" s="75">
        <v>174</v>
      </c>
      <c r="D12" s="43">
        <f>C12/$C$10</f>
        <v>0.651685393258427</v>
      </c>
    </row>
    <row r="13" spans="2:4" x14ac:dyDescent="0.3">
      <c r="B13" s="28" t="s">
        <v>48</v>
      </c>
      <c r="C13" s="41">
        <v>26</v>
      </c>
      <c r="D13" s="42">
        <f t="shared" ref="D13:D15" si="1">C13/$C$10</f>
        <v>9.7378277153558054E-2</v>
      </c>
    </row>
    <row r="14" spans="2:4" x14ac:dyDescent="0.3">
      <c r="B14" s="28" t="s">
        <v>50</v>
      </c>
      <c r="C14" s="41">
        <v>3</v>
      </c>
      <c r="D14" s="42">
        <f t="shared" si="1"/>
        <v>1.1235955056179775E-2</v>
      </c>
    </row>
    <row r="15" spans="2:4" x14ac:dyDescent="0.3">
      <c r="B15" s="28" t="s">
        <v>63</v>
      </c>
      <c r="C15" s="41">
        <v>1</v>
      </c>
      <c r="D15" s="42">
        <f t="shared" si="1"/>
        <v>3.7453183520599251E-3</v>
      </c>
    </row>
    <row r="16" spans="2:4" x14ac:dyDescent="0.3">
      <c r="B16" s="28" t="s">
        <v>59</v>
      </c>
      <c r="C16" s="73">
        <v>0</v>
      </c>
      <c r="D16" s="42">
        <f>C16/$C$10</f>
        <v>0</v>
      </c>
    </row>
    <row r="17" spans="2:4" x14ac:dyDescent="0.3">
      <c r="B17" s="28" t="s">
        <v>49</v>
      </c>
      <c r="C17" s="41">
        <v>3</v>
      </c>
      <c r="D17" s="42">
        <f>C17/$C$10</f>
        <v>1.1235955056179775E-2</v>
      </c>
    </row>
    <row r="18" spans="2:4" x14ac:dyDescent="0.3">
      <c r="B18" s="27" t="s">
        <v>44</v>
      </c>
      <c r="C18" s="74">
        <v>362</v>
      </c>
      <c r="D18" s="72">
        <f>C18/$C$18</f>
        <v>1</v>
      </c>
    </row>
    <row r="19" spans="2:4" x14ac:dyDescent="0.3">
      <c r="B19" s="40" t="s">
        <v>58</v>
      </c>
      <c r="C19" s="75">
        <v>45</v>
      </c>
      <c r="D19" s="43">
        <f t="shared" ref="D19:D25" si="2">C19/$C$18</f>
        <v>0.12430939226519337</v>
      </c>
    </row>
    <row r="20" spans="2:4" x14ac:dyDescent="0.3">
      <c r="B20" s="40" t="s">
        <v>45</v>
      </c>
      <c r="C20" s="75">
        <v>247</v>
      </c>
      <c r="D20" s="43">
        <f t="shared" si="2"/>
        <v>0.68232044198895025</v>
      </c>
    </row>
    <row r="21" spans="2:4" x14ac:dyDescent="0.3">
      <c r="B21" s="40" t="s">
        <v>48</v>
      </c>
      <c r="C21" s="75">
        <v>45</v>
      </c>
      <c r="D21" s="43">
        <f t="shared" si="2"/>
        <v>0.12430939226519337</v>
      </c>
    </row>
    <row r="22" spans="2:4" x14ac:dyDescent="0.3">
      <c r="B22" s="28" t="s">
        <v>50</v>
      </c>
      <c r="C22" s="41">
        <v>11</v>
      </c>
      <c r="D22" s="42">
        <f t="shared" si="2"/>
        <v>3.0386740331491711E-2</v>
      </c>
    </row>
    <row r="23" spans="2:4" x14ac:dyDescent="0.3">
      <c r="B23" s="28" t="s">
        <v>63</v>
      </c>
      <c r="C23" s="41">
        <v>3</v>
      </c>
      <c r="D23" s="42">
        <f t="shared" si="2"/>
        <v>8.2872928176795577E-3</v>
      </c>
    </row>
    <row r="24" spans="2:4" x14ac:dyDescent="0.3">
      <c r="B24" s="28" t="s">
        <v>59</v>
      </c>
      <c r="C24" s="41">
        <v>4</v>
      </c>
      <c r="D24" s="42">
        <f t="shared" si="2"/>
        <v>1.1049723756906077E-2</v>
      </c>
    </row>
    <row r="25" spans="2:4" x14ac:dyDescent="0.3">
      <c r="B25" s="28" t="s">
        <v>49</v>
      </c>
      <c r="C25" s="41">
        <v>7</v>
      </c>
      <c r="D25" s="42">
        <f t="shared" si="2"/>
        <v>1.9337016574585635E-2</v>
      </c>
    </row>
    <row r="26" spans="2:4" x14ac:dyDescent="0.3">
      <c r="B26" s="27" t="s">
        <v>51</v>
      </c>
      <c r="C26" s="74">
        <v>117</v>
      </c>
      <c r="D26" s="72">
        <f t="shared" ref="D26:D33" si="3">C26/$C$26</f>
        <v>1</v>
      </c>
    </row>
    <row r="27" spans="2:4" x14ac:dyDescent="0.3">
      <c r="B27" s="28" t="s">
        <v>58</v>
      </c>
      <c r="C27" s="73">
        <v>0</v>
      </c>
      <c r="D27" s="42">
        <f t="shared" si="3"/>
        <v>0</v>
      </c>
    </row>
    <row r="28" spans="2:4" x14ac:dyDescent="0.3">
      <c r="B28" s="40" t="s">
        <v>45</v>
      </c>
      <c r="C28" s="75">
        <v>37</v>
      </c>
      <c r="D28" s="43">
        <f t="shared" si="3"/>
        <v>0.31623931623931623</v>
      </c>
    </row>
    <row r="29" spans="2:4" x14ac:dyDescent="0.3">
      <c r="B29" s="40" t="s">
        <v>48</v>
      </c>
      <c r="C29" s="75">
        <v>57</v>
      </c>
      <c r="D29" s="43">
        <f t="shared" si="3"/>
        <v>0.48717948717948717</v>
      </c>
    </row>
    <row r="30" spans="2:4" x14ac:dyDescent="0.3">
      <c r="B30" s="28" t="s">
        <v>50</v>
      </c>
      <c r="C30" s="41">
        <v>15</v>
      </c>
      <c r="D30" s="42">
        <f t="shared" si="3"/>
        <v>0.12820512820512819</v>
      </c>
    </row>
    <row r="31" spans="2:4" x14ac:dyDescent="0.3">
      <c r="B31" s="28" t="s">
        <v>63</v>
      </c>
      <c r="C31" s="41">
        <v>2</v>
      </c>
      <c r="D31" s="42">
        <f t="shared" si="3"/>
        <v>1.7094017094017096E-2</v>
      </c>
    </row>
    <row r="32" spans="2:4" x14ac:dyDescent="0.3">
      <c r="B32" s="28" t="s">
        <v>59</v>
      </c>
      <c r="C32" s="41">
        <v>4</v>
      </c>
      <c r="D32" s="42">
        <f t="shared" si="3"/>
        <v>3.4188034188034191E-2</v>
      </c>
    </row>
    <row r="33" spans="2:4" x14ac:dyDescent="0.3">
      <c r="B33" s="28" t="s">
        <v>49</v>
      </c>
      <c r="C33" s="41">
        <v>2</v>
      </c>
      <c r="D33" s="42">
        <f t="shared" si="3"/>
        <v>1.7094017094017096E-2</v>
      </c>
    </row>
    <row r="34" spans="2:4" x14ac:dyDescent="0.3">
      <c r="B34" s="27" t="s">
        <v>46</v>
      </c>
      <c r="C34" s="74">
        <v>255</v>
      </c>
      <c r="D34" s="72">
        <f t="shared" ref="D34:D41" si="4">C34/$C$34</f>
        <v>1</v>
      </c>
    </row>
    <row r="35" spans="2:4" x14ac:dyDescent="0.3">
      <c r="B35" s="28" t="s">
        <v>58</v>
      </c>
      <c r="C35" s="41">
        <v>28</v>
      </c>
      <c r="D35" s="42">
        <f t="shared" si="4"/>
        <v>0.10980392156862745</v>
      </c>
    </row>
    <row r="36" spans="2:4" x14ac:dyDescent="0.3">
      <c r="B36" s="40" t="s">
        <v>45</v>
      </c>
      <c r="C36" s="75">
        <v>155</v>
      </c>
      <c r="D36" s="43">
        <f t="shared" si="4"/>
        <v>0.60784313725490191</v>
      </c>
    </row>
    <row r="37" spans="2:4" x14ac:dyDescent="0.3">
      <c r="B37" s="40" t="s">
        <v>48</v>
      </c>
      <c r="C37" s="75">
        <v>45</v>
      </c>
      <c r="D37" s="43">
        <f t="shared" si="4"/>
        <v>0.17647058823529413</v>
      </c>
    </row>
    <row r="38" spans="2:4" x14ac:dyDescent="0.3">
      <c r="B38" s="28" t="s">
        <v>50</v>
      </c>
      <c r="C38" s="41">
        <v>15</v>
      </c>
      <c r="D38" s="42">
        <f t="shared" si="4"/>
        <v>5.8823529411764705E-2</v>
      </c>
    </row>
    <row r="39" spans="2:4" x14ac:dyDescent="0.3">
      <c r="B39" s="28" t="s">
        <v>63</v>
      </c>
      <c r="C39" s="41">
        <v>5</v>
      </c>
      <c r="D39" s="42">
        <f t="shared" si="4"/>
        <v>1.9607843137254902E-2</v>
      </c>
    </row>
    <row r="40" spans="2:4" x14ac:dyDescent="0.3">
      <c r="B40" s="28" t="s">
        <v>59</v>
      </c>
      <c r="C40" s="73">
        <v>0</v>
      </c>
      <c r="D40" s="42">
        <f t="shared" si="4"/>
        <v>0</v>
      </c>
    </row>
    <row r="41" spans="2:4" x14ac:dyDescent="0.3">
      <c r="B41" s="28" t="s">
        <v>49</v>
      </c>
      <c r="C41" s="41">
        <v>7</v>
      </c>
      <c r="D41" s="42">
        <f t="shared" si="4"/>
        <v>2.7450980392156862E-2</v>
      </c>
    </row>
    <row r="42" spans="2:4" x14ac:dyDescent="0.3">
      <c r="B42" s="27" t="s">
        <v>106</v>
      </c>
      <c r="C42" s="74">
        <v>1343</v>
      </c>
      <c r="D42" s="72">
        <f>C42/$C$42</f>
        <v>1</v>
      </c>
    </row>
    <row r="44" spans="2:4" ht="15" thickBot="1" x14ac:dyDescent="0.35"/>
    <row r="45" spans="2:4" x14ac:dyDescent="0.3">
      <c r="B45" s="44" t="s">
        <v>58</v>
      </c>
      <c r="C45" s="77">
        <f>SUM(C3,C11,C19,C35,C27)</f>
        <v>178</v>
      </c>
      <c r="D45" s="45">
        <f>C45/$C$42</f>
        <v>0.1325390915860015</v>
      </c>
    </row>
    <row r="46" spans="2:4" x14ac:dyDescent="0.3">
      <c r="B46" s="46" t="s">
        <v>45</v>
      </c>
      <c r="C46" s="78">
        <f t="shared" ref="C46:C51" si="5">SUM(C4,C12,C20,C36,C28)</f>
        <v>865</v>
      </c>
      <c r="D46" s="47">
        <f t="shared" ref="D46:D51" si="6">C46/$C$42</f>
        <v>0.64408041697691731</v>
      </c>
    </row>
    <row r="47" spans="2:4" x14ac:dyDescent="0.3">
      <c r="B47" s="48" t="s">
        <v>48</v>
      </c>
      <c r="C47" s="79">
        <f t="shared" si="5"/>
        <v>204</v>
      </c>
      <c r="D47" s="49">
        <f t="shared" si="6"/>
        <v>0.15189873417721519</v>
      </c>
    </row>
    <row r="48" spans="2:4" x14ac:dyDescent="0.3">
      <c r="B48" s="48" t="s">
        <v>50</v>
      </c>
      <c r="C48" s="79">
        <f t="shared" si="5"/>
        <v>51</v>
      </c>
      <c r="D48" s="49">
        <f t="shared" si="6"/>
        <v>3.7974683544303799E-2</v>
      </c>
    </row>
    <row r="49" spans="2:4" x14ac:dyDescent="0.3">
      <c r="B49" s="48" t="s">
        <v>63</v>
      </c>
      <c r="C49" s="79">
        <f t="shared" si="5"/>
        <v>14</v>
      </c>
      <c r="D49" s="49">
        <f t="shared" si="6"/>
        <v>1.0424422933730455E-2</v>
      </c>
    </row>
    <row r="50" spans="2:4" x14ac:dyDescent="0.3">
      <c r="B50" s="48" t="s">
        <v>59</v>
      </c>
      <c r="C50" s="79">
        <f t="shared" si="5"/>
        <v>11</v>
      </c>
      <c r="D50" s="49">
        <f t="shared" si="6"/>
        <v>8.1906180193596426E-3</v>
      </c>
    </row>
    <row r="51" spans="2:4" x14ac:dyDescent="0.3">
      <c r="B51" s="48" t="s">
        <v>49</v>
      </c>
      <c r="C51" s="79">
        <f t="shared" si="5"/>
        <v>20</v>
      </c>
      <c r="D51" s="49">
        <f t="shared" si="6"/>
        <v>1.4892032762472078E-2</v>
      </c>
    </row>
    <row r="52" spans="2:4" ht="15" thickBot="1" x14ac:dyDescent="0.35">
      <c r="B52" s="120" t="s">
        <v>106</v>
      </c>
      <c r="C52" s="121">
        <v>1343</v>
      </c>
      <c r="D52" s="122">
        <f>C52/$C$42</f>
        <v>1</v>
      </c>
    </row>
    <row r="54" spans="2:4" ht="15" thickBot="1" x14ac:dyDescent="0.35"/>
    <row r="55" spans="2:4" x14ac:dyDescent="0.3">
      <c r="B55" s="123" t="s">
        <v>58</v>
      </c>
      <c r="C55" s="128">
        <v>178</v>
      </c>
      <c r="D55" s="124">
        <v>0.1325390915860015</v>
      </c>
    </row>
    <row r="56" spans="2:4" x14ac:dyDescent="0.3">
      <c r="B56" s="125" t="s">
        <v>45</v>
      </c>
      <c r="C56" s="129">
        <v>865</v>
      </c>
      <c r="D56" s="126">
        <v>0.64408041697691731</v>
      </c>
    </row>
    <row r="57" spans="2:4" x14ac:dyDescent="0.3">
      <c r="B57" s="125" t="s">
        <v>48</v>
      </c>
      <c r="C57" s="129">
        <v>204</v>
      </c>
      <c r="D57" s="126">
        <v>0.15189873417721519</v>
      </c>
    </row>
    <row r="58" spans="2:4" x14ac:dyDescent="0.3">
      <c r="B58" s="125" t="s">
        <v>50</v>
      </c>
      <c r="C58" s="129">
        <v>51</v>
      </c>
      <c r="D58" s="126">
        <v>3.7974683544303799E-2</v>
      </c>
    </row>
    <row r="59" spans="2:4" x14ac:dyDescent="0.3">
      <c r="B59" s="125" t="s">
        <v>63</v>
      </c>
      <c r="C59" s="129">
        <v>14</v>
      </c>
      <c r="D59" s="126">
        <v>1.0424422933730455E-2</v>
      </c>
    </row>
    <row r="60" spans="2:4" x14ac:dyDescent="0.3">
      <c r="B60" s="125" t="s">
        <v>59</v>
      </c>
      <c r="C60" s="129">
        <v>11</v>
      </c>
      <c r="D60" s="126">
        <v>8.1906180193596426E-3</v>
      </c>
    </row>
    <row r="61" spans="2:4" x14ac:dyDescent="0.3">
      <c r="B61" s="125" t="s">
        <v>49</v>
      </c>
      <c r="C61" s="129">
        <v>20</v>
      </c>
      <c r="D61" s="126">
        <v>1.4892032762472078E-2</v>
      </c>
    </row>
    <row r="62" spans="2:4" ht="15" thickBot="1" x14ac:dyDescent="0.35">
      <c r="B62" s="127" t="s">
        <v>106</v>
      </c>
      <c r="C62" s="130">
        <v>1343</v>
      </c>
      <c r="D62" s="122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6D4E-FEA9-46CF-A4DA-CF58E8A67D56}">
  <sheetPr>
    <tabColor rgb="FFC00000"/>
  </sheetPr>
  <dimension ref="A2:F9"/>
  <sheetViews>
    <sheetView showGridLines="0" workbookViewId="0"/>
  </sheetViews>
  <sheetFormatPr baseColWidth="10" defaultColWidth="11.44140625" defaultRowHeight="14.4" x14ac:dyDescent="0.3"/>
  <cols>
    <col min="1" max="1" width="19.5546875" customWidth="1"/>
    <col min="2" max="6" width="16" customWidth="1"/>
  </cols>
  <sheetData>
    <row r="2" spans="1:6" x14ac:dyDescent="0.3">
      <c r="A2" s="22" t="s">
        <v>104</v>
      </c>
      <c r="B2" s="22" t="s">
        <v>107</v>
      </c>
    </row>
    <row r="3" spans="1:6" x14ac:dyDescent="0.3">
      <c r="A3" s="22" t="s">
        <v>103</v>
      </c>
      <c r="B3">
        <v>0</v>
      </c>
      <c r="C3">
        <v>1</v>
      </c>
      <c r="D3">
        <v>2</v>
      </c>
      <c r="E3">
        <v>3</v>
      </c>
      <c r="F3" t="s">
        <v>105</v>
      </c>
    </row>
    <row r="4" spans="1:6" x14ac:dyDescent="0.3">
      <c r="A4" s="25" t="s">
        <v>44</v>
      </c>
      <c r="B4">
        <v>181</v>
      </c>
      <c r="C4">
        <v>176</v>
      </c>
      <c r="D4">
        <v>4</v>
      </c>
      <c r="E4">
        <v>1</v>
      </c>
      <c r="F4">
        <v>362</v>
      </c>
    </row>
    <row r="5" spans="1:6" x14ac:dyDescent="0.3">
      <c r="A5" s="25" t="s">
        <v>66</v>
      </c>
      <c r="B5">
        <v>314</v>
      </c>
      <c r="C5">
        <v>28</v>
      </c>
      <c r="F5">
        <v>342</v>
      </c>
    </row>
    <row r="6" spans="1:6" x14ac:dyDescent="0.3">
      <c r="A6" s="25" t="s">
        <v>47</v>
      </c>
      <c r="B6">
        <v>181</v>
      </c>
      <c r="C6">
        <v>81</v>
      </c>
      <c r="D6">
        <v>4</v>
      </c>
      <c r="E6">
        <v>1</v>
      </c>
      <c r="F6">
        <v>267</v>
      </c>
    </row>
    <row r="7" spans="1:6" x14ac:dyDescent="0.3">
      <c r="A7" s="25" t="s">
        <v>46</v>
      </c>
      <c r="B7">
        <v>106</v>
      </c>
      <c r="C7">
        <v>140</v>
      </c>
      <c r="D7">
        <v>8</v>
      </c>
      <c r="E7">
        <v>1</v>
      </c>
      <c r="F7">
        <v>255</v>
      </c>
    </row>
    <row r="8" spans="1:6" x14ac:dyDescent="0.3">
      <c r="A8" s="25" t="s">
        <v>51</v>
      </c>
      <c r="B8">
        <v>5</v>
      </c>
      <c r="C8">
        <v>102</v>
      </c>
      <c r="D8">
        <v>7</v>
      </c>
      <c r="E8">
        <v>3</v>
      </c>
      <c r="F8">
        <v>117</v>
      </c>
    </row>
    <row r="9" spans="1:6" x14ac:dyDescent="0.3">
      <c r="A9" s="25" t="s">
        <v>105</v>
      </c>
      <c r="B9">
        <v>787</v>
      </c>
      <c r="C9">
        <v>527</v>
      </c>
      <c r="D9">
        <v>23</v>
      </c>
      <c r="E9">
        <v>6</v>
      </c>
      <c r="F9">
        <v>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6CF8-5C6C-40BE-9A13-B9A73A68D675}">
  <sheetPr>
    <tabColor rgb="FFC00000"/>
  </sheetPr>
  <dimension ref="B2:M8"/>
  <sheetViews>
    <sheetView showGridLines="0" workbookViewId="0"/>
  </sheetViews>
  <sheetFormatPr baseColWidth="10" defaultColWidth="11.44140625" defaultRowHeight="14.4" x14ac:dyDescent="0.3"/>
  <cols>
    <col min="1" max="1" width="2.77734375" customWidth="1"/>
    <col min="2" max="2" width="22" customWidth="1"/>
    <col min="3" max="10" width="9" customWidth="1"/>
    <col min="11" max="11" width="1.6640625" customWidth="1"/>
  </cols>
  <sheetData>
    <row r="2" spans="2:13" x14ac:dyDescent="0.3">
      <c r="B2" s="24" t="s">
        <v>108</v>
      </c>
      <c r="C2" s="182">
        <v>0</v>
      </c>
      <c r="D2" s="183"/>
      <c r="E2" s="184">
        <v>1</v>
      </c>
      <c r="F2" s="184"/>
      <c r="G2" s="182">
        <v>2</v>
      </c>
      <c r="H2" s="184"/>
      <c r="I2" s="182">
        <v>3</v>
      </c>
      <c r="J2" s="183"/>
      <c r="K2" s="51"/>
      <c r="L2" s="54" t="s">
        <v>109</v>
      </c>
      <c r="M2" s="59" t="s">
        <v>110</v>
      </c>
    </row>
    <row r="3" spans="2:13" x14ac:dyDescent="0.3">
      <c r="B3" t="s">
        <v>66</v>
      </c>
      <c r="C3" s="55">
        <v>314</v>
      </c>
      <c r="D3" s="60">
        <f>C3/$L$3</f>
        <v>0.91812865497076024</v>
      </c>
      <c r="E3">
        <v>28</v>
      </c>
      <c r="F3" s="57">
        <f>E3/$L$3</f>
        <v>8.1871345029239762E-2</v>
      </c>
      <c r="G3" s="55"/>
      <c r="H3" s="57"/>
      <c r="I3" s="55"/>
      <c r="J3" s="57"/>
      <c r="K3" s="52"/>
      <c r="L3">
        <v>342</v>
      </c>
      <c r="M3" s="67">
        <f t="shared" ref="M3:M8" si="0">SUM(D3,F3,H3,J3)</f>
        <v>1</v>
      </c>
    </row>
    <row r="4" spans="2:13" x14ac:dyDescent="0.3">
      <c r="B4" s="29" t="s">
        <v>47</v>
      </c>
      <c r="C4" s="56">
        <v>181</v>
      </c>
      <c r="D4" s="61">
        <f>C4/$L$4</f>
        <v>0.67790262172284643</v>
      </c>
      <c r="E4" s="29">
        <v>81</v>
      </c>
      <c r="F4" s="58">
        <f>E4/$L$4</f>
        <v>0.30337078651685395</v>
      </c>
      <c r="G4" s="56">
        <v>4</v>
      </c>
      <c r="H4" s="58">
        <f>G4/$L$4</f>
        <v>1.4981273408239701E-2</v>
      </c>
      <c r="I4" s="56">
        <v>1</v>
      </c>
      <c r="J4" s="58"/>
      <c r="K4" s="53"/>
      <c r="L4" s="29">
        <v>267</v>
      </c>
      <c r="M4" s="68">
        <f t="shared" si="0"/>
        <v>0.99625468164794007</v>
      </c>
    </row>
    <row r="5" spans="2:13" x14ac:dyDescent="0.3">
      <c r="B5" t="s">
        <v>44</v>
      </c>
      <c r="C5" s="55">
        <v>181</v>
      </c>
      <c r="D5" s="60">
        <f>C5/$L$5</f>
        <v>0.5</v>
      </c>
      <c r="E5">
        <v>176</v>
      </c>
      <c r="F5" s="60">
        <f>E5/$L$5</f>
        <v>0.48618784530386738</v>
      </c>
      <c r="G5" s="55">
        <v>4</v>
      </c>
      <c r="H5" s="57">
        <f>G5/$L$5</f>
        <v>1.1049723756906077E-2</v>
      </c>
      <c r="I5" s="55">
        <v>1</v>
      </c>
      <c r="J5" s="57"/>
      <c r="K5" s="52"/>
      <c r="L5">
        <v>362</v>
      </c>
      <c r="M5" s="69">
        <f t="shared" si="0"/>
        <v>0.99723756906077343</v>
      </c>
    </row>
    <row r="6" spans="2:13" x14ac:dyDescent="0.3">
      <c r="B6" s="29" t="s">
        <v>51</v>
      </c>
      <c r="C6" s="56">
        <v>5</v>
      </c>
      <c r="D6" s="58">
        <f>C6/$L$6</f>
        <v>4.2735042735042736E-2</v>
      </c>
      <c r="E6" s="29">
        <v>102</v>
      </c>
      <c r="F6" s="61">
        <f>E6/$L$6</f>
        <v>0.87179487179487181</v>
      </c>
      <c r="G6" s="56">
        <v>7</v>
      </c>
      <c r="H6" s="58">
        <f>G6/$L$6</f>
        <v>5.9829059829059832E-2</v>
      </c>
      <c r="I6" s="56">
        <v>3</v>
      </c>
      <c r="J6" s="58">
        <f>I6/$L$6</f>
        <v>2.564102564102564E-2</v>
      </c>
      <c r="K6" s="53"/>
      <c r="L6" s="29">
        <v>117</v>
      </c>
      <c r="M6" s="68">
        <f t="shared" si="0"/>
        <v>1</v>
      </c>
    </row>
    <row r="7" spans="2:13" x14ac:dyDescent="0.3">
      <c r="B7" t="s">
        <v>46</v>
      </c>
      <c r="C7" s="55">
        <v>106</v>
      </c>
      <c r="D7" s="60">
        <f>C7/$L$7</f>
        <v>0.41568627450980394</v>
      </c>
      <c r="E7">
        <v>140</v>
      </c>
      <c r="F7" s="60">
        <f>E7/$L$7</f>
        <v>0.5490196078431373</v>
      </c>
      <c r="G7" s="55">
        <v>8</v>
      </c>
      <c r="H7" s="57">
        <f>G7/$L$7</f>
        <v>3.1372549019607843E-2</v>
      </c>
      <c r="I7" s="55">
        <v>1</v>
      </c>
      <c r="J7" s="57">
        <f>I7/$L$7</f>
        <v>3.9215686274509803E-3</v>
      </c>
      <c r="K7" s="52"/>
      <c r="L7">
        <v>255</v>
      </c>
      <c r="M7" s="70">
        <f t="shared" si="0"/>
        <v>1.0000000000000002</v>
      </c>
    </row>
    <row r="8" spans="2:13" x14ac:dyDescent="0.3">
      <c r="B8" s="62" t="s">
        <v>106</v>
      </c>
      <c r="C8" s="63">
        <v>787</v>
      </c>
      <c r="D8" s="64">
        <f>C8/$L$8</f>
        <v>0.58600148920327622</v>
      </c>
      <c r="E8" s="62">
        <v>527</v>
      </c>
      <c r="F8" s="64">
        <f>E8/$L$8</f>
        <v>0.39240506329113922</v>
      </c>
      <c r="G8" s="63">
        <v>23</v>
      </c>
      <c r="H8" s="64">
        <f>G8/$L$8</f>
        <v>1.7125837676842889E-2</v>
      </c>
      <c r="I8" s="63">
        <v>6</v>
      </c>
      <c r="J8" s="64">
        <f>I8/$L$8</f>
        <v>4.4676098287416231E-3</v>
      </c>
      <c r="K8" s="62"/>
      <c r="L8" s="62">
        <v>1343</v>
      </c>
      <c r="M8" s="66">
        <f t="shared" si="0"/>
        <v>0.99999999999999989</v>
      </c>
    </row>
  </sheetData>
  <mergeCells count="4">
    <mergeCell ref="C2:D2"/>
    <mergeCell ref="E2:F2"/>
    <mergeCell ref="G2:H2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640D-1811-4F02-8F88-3D84CCF409C3}">
  <sheetPr>
    <tabColor theme="4"/>
  </sheetPr>
  <dimension ref="A2:F9"/>
  <sheetViews>
    <sheetView showGridLines="0" workbookViewId="0"/>
  </sheetViews>
  <sheetFormatPr baseColWidth="10" defaultColWidth="11.44140625" defaultRowHeight="14.4" x14ac:dyDescent="0.3"/>
  <cols>
    <col min="1" max="1" width="19.5546875" customWidth="1"/>
    <col min="2" max="6" width="12.109375" customWidth="1"/>
  </cols>
  <sheetData>
    <row r="2" spans="1:6" x14ac:dyDescent="0.3">
      <c r="A2" s="22" t="s">
        <v>104</v>
      </c>
      <c r="B2" s="22" t="s">
        <v>107</v>
      </c>
    </row>
    <row r="3" spans="1:6" x14ac:dyDescent="0.3">
      <c r="A3" s="22" t="s">
        <v>103</v>
      </c>
      <c r="B3">
        <v>0</v>
      </c>
      <c r="C3">
        <v>1</v>
      </c>
      <c r="D3">
        <v>2</v>
      </c>
      <c r="E3">
        <v>3</v>
      </c>
      <c r="F3" t="s">
        <v>105</v>
      </c>
    </row>
    <row r="4" spans="1:6" x14ac:dyDescent="0.3">
      <c r="A4" s="25" t="s">
        <v>44</v>
      </c>
      <c r="B4">
        <v>15</v>
      </c>
      <c r="C4">
        <v>341</v>
      </c>
      <c r="D4">
        <v>6</v>
      </c>
      <c r="F4">
        <v>362</v>
      </c>
    </row>
    <row r="5" spans="1:6" x14ac:dyDescent="0.3">
      <c r="A5" s="25" t="s">
        <v>66</v>
      </c>
      <c r="B5">
        <v>319</v>
      </c>
      <c r="C5">
        <v>23</v>
      </c>
      <c r="F5">
        <v>342</v>
      </c>
    </row>
    <row r="6" spans="1:6" x14ac:dyDescent="0.3">
      <c r="A6" s="25" t="s">
        <v>47</v>
      </c>
      <c r="B6">
        <v>48</v>
      </c>
      <c r="C6">
        <v>218</v>
      </c>
      <c r="D6">
        <v>1</v>
      </c>
      <c r="F6">
        <v>267</v>
      </c>
    </row>
    <row r="7" spans="1:6" x14ac:dyDescent="0.3">
      <c r="A7" s="25" t="s">
        <v>46</v>
      </c>
      <c r="B7">
        <v>27</v>
      </c>
      <c r="C7">
        <v>224</v>
      </c>
      <c r="D7">
        <v>3</v>
      </c>
      <c r="E7">
        <v>1</v>
      </c>
      <c r="F7">
        <v>255</v>
      </c>
    </row>
    <row r="8" spans="1:6" x14ac:dyDescent="0.3">
      <c r="A8" s="25" t="s">
        <v>51</v>
      </c>
      <c r="B8">
        <v>1</v>
      </c>
      <c r="C8">
        <v>107</v>
      </c>
      <c r="D8">
        <v>9</v>
      </c>
      <c r="F8">
        <v>117</v>
      </c>
    </row>
    <row r="9" spans="1:6" x14ac:dyDescent="0.3">
      <c r="A9" s="25" t="s">
        <v>105</v>
      </c>
      <c r="B9">
        <v>410</v>
      </c>
      <c r="C9">
        <v>913</v>
      </c>
      <c r="D9">
        <v>19</v>
      </c>
      <c r="E9">
        <v>1</v>
      </c>
      <c r="F9">
        <v>1343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D336-24A3-4E4D-9112-F561B01097CC}">
  <sheetPr>
    <tabColor theme="4"/>
  </sheetPr>
  <dimension ref="B2:M8"/>
  <sheetViews>
    <sheetView showGridLines="0" workbookViewId="0"/>
  </sheetViews>
  <sheetFormatPr baseColWidth="10" defaultColWidth="11.44140625" defaultRowHeight="14.4" x14ac:dyDescent="0.3"/>
  <cols>
    <col min="1" max="1" width="2.88671875" customWidth="1"/>
    <col min="2" max="2" width="20.109375" customWidth="1"/>
    <col min="3" max="10" width="9" customWidth="1"/>
    <col min="11" max="11" width="1.6640625" customWidth="1"/>
  </cols>
  <sheetData>
    <row r="2" spans="2:13" x14ac:dyDescent="0.3">
      <c r="B2" s="24" t="s">
        <v>111</v>
      </c>
      <c r="C2" s="182">
        <v>0</v>
      </c>
      <c r="D2" s="183"/>
      <c r="E2" s="184">
        <v>1</v>
      </c>
      <c r="F2" s="184"/>
      <c r="G2" s="182">
        <v>2</v>
      </c>
      <c r="H2" s="184"/>
      <c r="I2" s="182">
        <v>3</v>
      </c>
      <c r="J2" s="183"/>
      <c r="K2" s="51"/>
      <c r="L2" s="54" t="s">
        <v>109</v>
      </c>
      <c r="M2" s="59" t="s">
        <v>110</v>
      </c>
    </row>
    <row r="3" spans="2:13" x14ac:dyDescent="0.3">
      <c r="B3" t="s">
        <v>66</v>
      </c>
      <c r="C3" s="55">
        <v>319</v>
      </c>
      <c r="D3" s="60">
        <f>C3/$L$3</f>
        <v>0.93274853801169588</v>
      </c>
      <c r="E3">
        <v>23</v>
      </c>
      <c r="F3" s="57">
        <f>E3/$L$3</f>
        <v>6.725146198830409E-2</v>
      </c>
      <c r="G3" s="55"/>
      <c r="H3" s="57"/>
      <c r="I3" s="55"/>
      <c r="J3" s="57"/>
      <c r="K3" s="52"/>
      <c r="L3">
        <v>342</v>
      </c>
      <c r="M3" s="67">
        <f t="shared" ref="M3:M8" si="0">SUM(D3,F3,H3,J3)</f>
        <v>1</v>
      </c>
    </row>
    <row r="4" spans="2:13" x14ac:dyDescent="0.3">
      <c r="B4" s="29" t="s">
        <v>47</v>
      </c>
      <c r="C4" s="56">
        <v>48</v>
      </c>
      <c r="D4" s="58">
        <f>C4/$L$4</f>
        <v>0.1797752808988764</v>
      </c>
      <c r="E4" s="29">
        <v>218</v>
      </c>
      <c r="F4" s="61">
        <f>E4/$L$4</f>
        <v>0.81647940074906367</v>
      </c>
      <c r="G4" s="56">
        <v>1</v>
      </c>
      <c r="H4" s="58">
        <f>G4/$L$4</f>
        <v>3.7453183520599251E-3</v>
      </c>
      <c r="I4" s="56"/>
      <c r="J4" s="58"/>
      <c r="K4" s="53"/>
      <c r="L4" s="29">
        <v>267</v>
      </c>
      <c r="M4" s="68">
        <f t="shared" si="0"/>
        <v>1</v>
      </c>
    </row>
    <row r="5" spans="2:13" x14ac:dyDescent="0.3">
      <c r="B5" t="s">
        <v>44</v>
      </c>
      <c r="C5" s="55">
        <v>15</v>
      </c>
      <c r="D5" s="57">
        <f>C5/$L$5</f>
        <v>4.1436464088397788E-2</v>
      </c>
      <c r="E5">
        <v>341</v>
      </c>
      <c r="F5" s="60">
        <f>E5/$L$5</f>
        <v>0.94198895027624308</v>
      </c>
      <c r="G5" s="55">
        <v>6</v>
      </c>
      <c r="H5" s="57">
        <f>G5/$L$5</f>
        <v>1.6574585635359115E-2</v>
      </c>
      <c r="I5" s="55"/>
      <c r="J5" s="57"/>
      <c r="K5" s="52"/>
      <c r="L5">
        <v>362</v>
      </c>
      <c r="M5" s="69">
        <f t="shared" si="0"/>
        <v>0.99999999999999989</v>
      </c>
    </row>
    <row r="6" spans="2:13" x14ac:dyDescent="0.3">
      <c r="B6" s="29" t="s">
        <v>51</v>
      </c>
      <c r="C6" s="56">
        <v>1</v>
      </c>
      <c r="D6" s="58">
        <f>C6/$L$6</f>
        <v>8.5470085470085479E-3</v>
      </c>
      <c r="E6" s="29">
        <v>107</v>
      </c>
      <c r="F6" s="61">
        <f>E6/$L$6</f>
        <v>0.9145299145299145</v>
      </c>
      <c r="G6" s="56">
        <v>9</v>
      </c>
      <c r="H6" s="58">
        <f>G6/$L$6</f>
        <v>7.6923076923076927E-2</v>
      </c>
      <c r="I6" s="56"/>
      <c r="J6" s="58"/>
      <c r="K6" s="53"/>
      <c r="L6" s="29">
        <v>117</v>
      </c>
      <c r="M6" s="68">
        <f t="shared" si="0"/>
        <v>1</v>
      </c>
    </row>
    <row r="7" spans="2:13" x14ac:dyDescent="0.3">
      <c r="B7" t="s">
        <v>46</v>
      </c>
      <c r="C7" s="55">
        <v>27</v>
      </c>
      <c r="D7" s="57">
        <f>C7/$L$7</f>
        <v>0.10588235294117647</v>
      </c>
      <c r="E7">
        <v>224</v>
      </c>
      <c r="F7" s="60">
        <f>E7/$L$7</f>
        <v>0.8784313725490196</v>
      </c>
      <c r="G7" s="55">
        <v>3</v>
      </c>
      <c r="H7" s="57">
        <f>G7/$L$7</f>
        <v>1.1764705882352941E-2</v>
      </c>
      <c r="I7" s="55">
        <v>1</v>
      </c>
      <c r="J7" s="57">
        <f>I7/$L$7</f>
        <v>3.9215686274509803E-3</v>
      </c>
      <c r="K7" s="52"/>
      <c r="L7">
        <v>255</v>
      </c>
      <c r="M7" s="70">
        <f t="shared" si="0"/>
        <v>0.99999999999999989</v>
      </c>
    </row>
    <row r="8" spans="2:13" x14ac:dyDescent="0.3">
      <c r="B8" s="62" t="s">
        <v>106</v>
      </c>
      <c r="C8" s="63">
        <v>410</v>
      </c>
      <c r="D8" s="64">
        <f>C8/$L$8</f>
        <v>0.30528667163067758</v>
      </c>
      <c r="E8" s="62">
        <v>913</v>
      </c>
      <c r="F8" s="64">
        <f>E8/$L$8</f>
        <v>0.67982129560685034</v>
      </c>
      <c r="G8" s="63">
        <v>19</v>
      </c>
      <c r="H8" s="64">
        <f>G8/$L$8</f>
        <v>1.4147431124348473E-2</v>
      </c>
      <c r="I8" s="63">
        <v>1</v>
      </c>
      <c r="J8" s="64">
        <f>I8/$L$8</f>
        <v>7.4460163812360388E-4</v>
      </c>
      <c r="K8" s="62"/>
      <c r="L8" s="62">
        <v>1343</v>
      </c>
      <c r="M8" s="66">
        <f t="shared" si="0"/>
        <v>1</v>
      </c>
    </row>
  </sheetData>
  <mergeCells count="4">
    <mergeCell ref="C2:D2"/>
    <mergeCell ref="E2:F2"/>
    <mergeCell ref="G2:H2"/>
    <mergeCell ref="I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DD9A-73AA-4899-943A-69FFF515B0ED}">
  <sheetPr>
    <tabColor theme="1"/>
  </sheetPr>
  <dimension ref="B1:E9"/>
  <sheetViews>
    <sheetView showGridLines="0" zoomScaleNormal="100" workbookViewId="0"/>
  </sheetViews>
  <sheetFormatPr baseColWidth="10" defaultColWidth="11.44140625" defaultRowHeight="14.4" x14ac:dyDescent="0.3"/>
  <cols>
    <col min="1" max="1" width="2.44140625" customWidth="1"/>
    <col min="2" max="2" width="15.6640625" customWidth="1"/>
    <col min="3" max="5" width="18.88671875" customWidth="1"/>
  </cols>
  <sheetData>
    <row r="1" spans="2:5" ht="7.95" customHeight="1" x14ac:dyDescent="0.3"/>
    <row r="2" spans="2:5" x14ac:dyDescent="0.3">
      <c r="B2" s="65" t="s">
        <v>300</v>
      </c>
    </row>
    <row r="4" spans="2:5" x14ac:dyDescent="0.3">
      <c r="C4" s="30" t="s">
        <v>112</v>
      </c>
      <c r="D4" s="30" t="s">
        <v>113</v>
      </c>
      <c r="E4" s="30" t="s">
        <v>114</v>
      </c>
    </row>
    <row r="5" spans="2:5" x14ac:dyDescent="0.3">
      <c r="B5" t="s">
        <v>66</v>
      </c>
      <c r="C5" s="23" t="s">
        <v>45</v>
      </c>
      <c r="D5" s="23">
        <v>0</v>
      </c>
      <c r="E5" s="23">
        <v>0</v>
      </c>
    </row>
    <row r="6" spans="2:5" x14ac:dyDescent="0.3">
      <c r="B6" s="29" t="s">
        <v>47</v>
      </c>
      <c r="C6" s="71" t="s">
        <v>45</v>
      </c>
      <c r="D6" s="71">
        <v>0</v>
      </c>
      <c r="E6" s="71">
        <v>1</v>
      </c>
    </row>
    <row r="7" spans="2:5" x14ac:dyDescent="0.3">
      <c r="B7" t="s">
        <v>44</v>
      </c>
      <c r="C7" s="23" t="s">
        <v>45</v>
      </c>
      <c r="D7" s="23" t="s">
        <v>115</v>
      </c>
      <c r="E7" s="23">
        <v>1</v>
      </c>
    </row>
    <row r="8" spans="2:5" x14ac:dyDescent="0.3">
      <c r="B8" s="29" t="s">
        <v>51</v>
      </c>
      <c r="C8" s="71" t="s">
        <v>48</v>
      </c>
      <c r="D8" s="71">
        <v>1</v>
      </c>
      <c r="E8" s="71">
        <v>1</v>
      </c>
    </row>
    <row r="9" spans="2:5" x14ac:dyDescent="0.3">
      <c r="B9" t="s">
        <v>46</v>
      </c>
      <c r="C9" s="23" t="s">
        <v>45</v>
      </c>
      <c r="D9" s="23">
        <v>1</v>
      </c>
      <c r="E9" s="2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E093-5954-4A40-BDCF-2EB25347EFFC}">
  <sheetPr>
    <tabColor theme="1"/>
  </sheetPr>
  <dimension ref="B1:AB33"/>
  <sheetViews>
    <sheetView showGridLines="0" zoomScale="80" zoomScaleNormal="80" workbookViewId="0">
      <selection activeCell="B2" sqref="B2:AB2"/>
    </sheetView>
  </sheetViews>
  <sheetFormatPr baseColWidth="10" defaultColWidth="11.44140625" defaultRowHeight="14.4" x14ac:dyDescent="0.3"/>
  <cols>
    <col min="1" max="1" width="1.44140625" customWidth="1"/>
    <col min="2" max="2" width="15.6640625" customWidth="1"/>
    <col min="3" max="3" width="8.33203125" customWidth="1"/>
    <col min="4" max="4" width="2.6640625" customWidth="1"/>
    <col min="5" max="7" width="8.33203125" customWidth="1"/>
    <col min="8" max="8" width="2.109375" customWidth="1"/>
    <col min="9" max="9" width="15.6640625" customWidth="1"/>
    <col min="10" max="10" width="8.33203125" customWidth="1"/>
    <col min="11" max="11" width="2.6640625" customWidth="1"/>
    <col min="12" max="14" width="8.33203125" customWidth="1"/>
    <col min="15" max="15" width="2.109375" customWidth="1"/>
    <col min="16" max="16" width="15.6640625" customWidth="1"/>
    <col min="17" max="17" width="8.33203125" customWidth="1"/>
    <col min="18" max="18" width="2.6640625" customWidth="1"/>
    <col min="19" max="21" width="8.33203125" customWidth="1"/>
    <col min="22" max="22" width="2.109375" customWidth="1"/>
    <col min="23" max="23" width="15.6640625" customWidth="1"/>
    <col min="24" max="24" width="8.33203125" customWidth="1"/>
    <col min="25" max="25" width="2.6640625" customWidth="1"/>
    <col min="26" max="28" width="8.33203125" customWidth="1"/>
  </cols>
  <sheetData>
    <row r="1" spans="2:28" ht="6" customHeight="1" x14ac:dyDescent="0.3"/>
    <row r="2" spans="2:28" ht="28.2" customHeight="1" x14ac:dyDescent="0.3">
      <c r="B2" s="185" t="s">
        <v>116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</row>
    <row r="3" spans="2:28" ht="6" customHeight="1" x14ac:dyDescent="0.3"/>
    <row r="4" spans="2:28" ht="18" x14ac:dyDescent="0.35">
      <c r="B4" s="108" t="s">
        <v>76</v>
      </c>
      <c r="C4" s="108" t="s">
        <v>77</v>
      </c>
      <c r="D4" s="105"/>
      <c r="E4" s="105"/>
      <c r="F4" s="105"/>
      <c r="G4" s="105"/>
      <c r="I4" s="109" t="s">
        <v>74</v>
      </c>
      <c r="J4" s="109" t="s">
        <v>75</v>
      </c>
      <c r="K4" s="105"/>
      <c r="L4" s="105"/>
      <c r="M4" s="105"/>
      <c r="N4" s="105"/>
      <c r="P4" s="110" t="s">
        <v>71</v>
      </c>
      <c r="Q4" s="110" t="s">
        <v>144</v>
      </c>
      <c r="R4" s="105"/>
      <c r="S4" s="105"/>
      <c r="T4" s="105"/>
      <c r="U4" s="105"/>
      <c r="W4" s="113" t="s">
        <v>68</v>
      </c>
      <c r="X4" s="113" t="s">
        <v>69</v>
      </c>
      <c r="Y4" s="105"/>
      <c r="Z4" s="105"/>
      <c r="AA4" s="105"/>
      <c r="AB4" s="105"/>
    </row>
    <row r="5" spans="2:28" ht="7.95" customHeight="1" x14ac:dyDescent="0.3"/>
    <row r="6" spans="2:28" x14ac:dyDescent="0.3">
      <c r="B6" s="2" t="s">
        <v>112</v>
      </c>
      <c r="C6" s="106">
        <v>40</v>
      </c>
      <c r="E6" s="2" t="s">
        <v>145</v>
      </c>
      <c r="F6" s="2"/>
      <c r="G6" s="106">
        <v>2</v>
      </c>
      <c r="I6" s="2" t="s">
        <v>112</v>
      </c>
      <c r="J6" s="106">
        <v>42</v>
      </c>
      <c r="L6" s="2" t="s">
        <v>145</v>
      </c>
      <c r="M6" s="2"/>
      <c r="N6" s="106">
        <v>3</v>
      </c>
      <c r="P6" s="2" t="s">
        <v>112</v>
      </c>
      <c r="Q6" s="106">
        <v>45</v>
      </c>
      <c r="S6" s="2" t="s">
        <v>145</v>
      </c>
      <c r="T6" s="2"/>
      <c r="U6" s="106">
        <v>4</v>
      </c>
      <c r="W6" s="2" t="s">
        <v>112</v>
      </c>
      <c r="X6" s="106">
        <v>47</v>
      </c>
      <c r="Z6" s="2" t="s">
        <v>145</v>
      </c>
      <c r="AA6" s="2"/>
      <c r="AB6" s="106">
        <v>4</v>
      </c>
    </row>
    <row r="7" spans="2:28" x14ac:dyDescent="0.3">
      <c r="B7" s="2" t="s">
        <v>146</v>
      </c>
      <c r="C7" s="111">
        <v>1.5</v>
      </c>
      <c r="E7" s="7" t="s">
        <v>147</v>
      </c>
      <c r="F7" s="7"/>
      <c r="G7" s="107">
        <v>0.9</v>
      </c>
      <c r="I7" s="2" t="s">
        <v>146</v>
      </c>
      <c r="J7" s="111">
        <v>1.5</v>
      </c>
      <c r="L7" s="7" t="s">
        <v>147</v>
      </c>
      <c r="M7" s="7"/>
      <c r="N7" s="107">
        <v>0.7</v>
      </c>
      <c r="P7" s="2" t="s">
        <v>146</v>
      </c>
      <c r="Q7" s="111">
        <v>1.5</v>
      </c>
      <c r="S7" s="7" t="s">
        <v>147</v>
      </c>
      <c r="T7" s="7"/>
      <c r="U7" s="107">
        <v>0.8</v>
      </c>
      <c r="W7" s="2" t="s">
        <v>146</v>
      </c>
      <c r="X7" s="111">
        <v>1.5</v>
      </c>
      <c r="Z7" s="7" t="s">
        <v>147</v>
      </c>
      <c r="AA7" s="7"/>
      <c r="AB7" s="107">
        <v>0.7</v>
      </c>
    </row>
    <row r="8" spans="2:28" x14ac:dyDescent="0.3">
      <c r="B8" s="2" t="s">
        <v>148</v>
      </c>
      <c r="C8" s="112">
        <v>0.7</v>
      </c>
      <c r="E8" s="7" t="s">
        <v>149</v>
      </c>
      <c r="F8" s="7"/>
      <c r="G8" s="107">
        <v>0.1</v>
      </c>
      <c r="I8" s="2" t="s">
        <v>148</v>
      </c>
      <c r="J8" s="112">
        <v>0.7</v>
      </c>
      <c r="L8" s="7" t="s">
        <v>149</v>
      </c>
      <c r="M8" s="7"/>
      <c r="N8" s="107">
        <v>0.3</v>
      </c>
      <c r="P8" s="2" t="s">
        <v>148</v>
      </c>
      <c r="Q8" s="112">
        <v>0.7</v>
      </c>
      <c r="S8" s="7" t="s">
        <v>149</v>
      </c>
      <c r="T8" s="7"/>
      <c r="U8" s="107">
        <v>0.2</v>
      </c>
      <c r="W8" s="2" t="s">
        <v>148</v>
      </c>
      <c r="X8" s="112">
        <v>0.7</v>
      </c>
      <c r="Z8" s="7" t="s">
        <v>149</v>
      </c>
      <c r="AA8" s="7"/>
      <c r="AB8" s="107">
        <v>0.3</v>
      </c>
    </row>
    <row r="9" spans="2:28" ht="7.95" customHeight="1" thickBot="1" x14ac:dyDescent="0.35"/>
    <row r="10" spans="2:28" ht="7.95" customHeight="1" thickTop="1" x14ac:dyDescent="0.3">
      <c r="B10" s="32"/>
      <c r="C10" s="32"/>
      <c r="D10" s="32"/>
      <c r="E10" s="32"/>
      <c r="F10" s="32"/>
      <c r="G10" s="32"/>
      <c r="I10" s="32"/>
      <c r="J10" s="32"/>
      <c r="K10" s="32"/>
      <c r="L10" s="32"/>
      <c r="M10" s="32"/>
      <c r="N10" s="32"/>
      <c r="P10" s="32"/>
      <c r="Q10" s="32"/>
      <c r="R10" s="32"/>
      <c r="S10" s="32"/>
      <c r="T10" s="32"/>
      <c r="U10" s="32"/>
      <c r="W10" s="32"/>
      <c r="X10" s="32"/>
      <c r="Y10" s="32"/>
      <c r="Z10" s="32"/>
      <c r="AA10" s="32"/>
      <c r="AB10" s="32"/>
    </row>
    <row r="11" spans="2:28" x14ac:dyDescent="0.3">
      <c r="B11" s="2" t="s">
        <v>150</v>
      </c>
      <c r="C11" s="31" t="s">
        <v>151</v>
      </c>
      <c r="E11" s="2" t="s">
        <v>152</v>
      </c>
      <c r="F11" s="2"/>
      <c r="G11" s="31" t="s">
        <v>151</v>
      </c>
      <c r="I11" s="2" t="s">
        <v>150</v>
      </c>
      <c r="J11" s="31" t="s">
        <v>151</v>
      </c>
      <c r="L11" s="2" t="s">
        <v>152</v>
      </c>
      <c r="M11" s="2"/>
      <c r="N11" s="31" t="s">
        <v>151</v>
      </c>
      <c r="P11" s="2" t="s">
        <v>150</v>
      </c>
      <c r="Q11" s="31" t="s">
        <v>151</v>
      </c>
      <c r="S11" s="2" t="s">
        <v>152</v>
      </c>
      <c r="T11" s="2"/>
      <c r="U11" s="31" t="s">
        <v>151</v>
      </c>
      <c r="W11" s="2" t="s">
        <v>150</v>
      </c>
      <c r="X11" s="31" t="s">
        <v>151</v>
      </c>
      <c r="Z11" s="2" t="s">
        <v>152</v>
      </c>
      <c r="AA11" s="2"/>
      <c r="AB11" s="31" t="s">
        <v>151</v>
      </c>
    </row>
    <row r="12" spans="2:28" x14ac:dyDescent="0.3">
      <c r="B12" s="2" t="s">
        <v>153</v>
      </c>
      <c r="C12" s="31" t="s">
        <v>151</v>
      </c>
      <c r="E12" s="2" t="s">
        <v>154</v>
      </c>
      <c r="F12" s="2"/>
      <c r="G12" s="39"/>
      <c r="I12" s="2" t="s">
        <v>153</v>
      </c>
      <c r="J12" s="31" t="s">
        <v>151</v>
      </c>
      <c r="L12" s="2" t="s">
        <v>154</v>
      </c>
      <c r="M12" s="2"/>
      <c r="N12" s="31" t="s">
        <v>151</v>
      </c>
      <c r="P12" s="2" t="s">
        <v>153</v>
      </c>
      <c r="Q12" s="31" t="s">
        <v>151</v>
      </c>
      <c r="S12" s="2" t="s">
        <v>154</v>
      </c>
      <c r="T12" s="2"/>
      <c r="U12" s="31" t="s">
        <v>151</v>
      </c>
      <c r="W12" s="2" t="s">
        <v>153</v>
      </c>
      <c r="X12" s="31" t="s">
        <v>151</v>
      </c>
      <c r="Z12" s="2" t="s">
        <v>154</v>
      </c>
      <c r="AA12" s="2"/>
      <c r="AB12" s="31" t="s">
        <v>151</v>
      </c>
    </row>
    <row r="13" spans="2:28" x14ac:dyDescent="0.3">
      <c r="B13" s="2" t="s">
        <v>155</v>
      </c>
      <c r="C13" s="31" t="s">
        <v>151</v>
      </c>
      <c r="E13" s="2" t="s">
        <v>156</v>
      </c>
      <c r="F13" s="2"/>
      <c r="G13" s="39"/>
      <c r="I13" s="2" t="s">
        <v>155</v>
      </c>
      <c r="J13" s="31" t="s">
        <v>151</v>
      </c>
      <c r="L13" s="2" t="s">
        <v>156</v>
      </c>
      <c r="M13" s="2"/>
      <c r="N13" s="39"/>
      <c r="P13" s="2" t="s">
        <v>155</v>
      </c>
      <c r="Q13" s="31" t="s">
        <v>151</v>
      </c>
      <c r="S13" s="2" t="s">
        <v>156</v>
      </c>
      <c r="T13" s="2"/>
      <c r="U13" s="39"/>
      <c r="W13" s="2" t="s">
        <v>155</v>
      </c>
      <c r="X13" s="31" t="s">
        <v>151</v>
      </c>
      <c r="Z13" s="2" t="s">
        <v>156</v>
      </c>
      <c r="AA13" s="2"/>
      <c r="AB13" s="31" t="s">
        <v>151</v>
      </c>
    </row>
    <row r="14" spans="2:28" x14ac:dyDescent="0.3">
      <c r="B14" s="2" t="s">
        <v>157</v>
      </c>
      <c r="C14" s="31" t="s">
        <v>151</v>
      </c>
      <c r="E14" s="2" t="s">
        <v>158</v>
      </c>
      <c r="F14" s="2"/>
      <c r="G14" s="39"/>
      <c r="I14" s="2" t="s">
        <v>157</v>
      </c>
      <c r="J14" s="31" t="s">
        <v>151</v>
      </c>
      <c r="L14" s="2" t="s">
        <v>158</v>
      </c>
      <c r="M14" s="2"/>
      <c r="N14" s="39"/>
      <c r="P14" s="2" t="s">
        <v>157</v>
      </c>
      <c r="Q14" s="31" t="s">
        <v>151</v>
      </c>
      <c r="S14" s="2" t="s">
        <v>158</v>
      </c>
      <c r="T14" s="2"/>
      <c r="U14" s="39"/>
      <c r="W14" s="2" t="s">
        <v>157</v>
      </c>
      <c r="X14" s="31" t="s">
        <v>151</v>
      </c>
      <c r="Z14" s="2" t="s">
        <v>158</v>
      </c>
      <c r="AA14" s="2"/>
      <c r="AB14" s="39"/>
    </row>
    <row r="15" spans="2:28" x14ac:dyDescent="0.3">
      <c r="B15" s="2" t="s">
        <v>159</v>
      </c>
      <c r="C15" s="31" t="s">
        <v>151</v>
      </c>
      <c r="E15" s="2" t="s">
        <v>160</v>
      </c>
      <c r="F15" s="2"/>
      <c r="G15" s="39"/>
      <c r="I15" s="2" t="s">
        <v>159</v>
      </c>
      <c r="J15" s="31" t="s">
        <v>151</v>
      </c>
      <c r="L15" s="2" t="s">
        <v>160</v>
      </c>
      <c r="M15" s="2"/>
      <c r="N15" s="39"/>
      <c r="P15" s="2" t="s">
        <v>159</v>
      </c>
      <c r="Q15" s="31" t="s">
        <v>151</v>
      </c>
      <c r="S15" s="2" t="s">
        <v>160</v>
      </c>
      <c r="T15" s="2"/>
      <c r="U15" s="39"/>
      <c r="W15" s="2" t="s">
        <v>159</v>
      </c>
      <c r="X15" s="31" t="s">
        <v>151</v>
      </c>
      <c r="Z15" s="2" t="s">
        <v>160</v>
      </c>
      <c r="AA15" s="2"/>
      <c r="AB15" s="39"/>
    </row>
    <row r="16" spans="2:28" x14ac:dyDescent="0.3">
      <c r="B16" s="2" t="s">
        <v>161</v>
      </c>
      <c r="C16" s="31" t="s">
        <v>151</v>
      </c>
      <c r="E16" s="2" t="s">
        <v>162</v>
      </c>
      <c r="F16" s="2"/>
      <c r="G16" s="39"/>
      <c r="I16" s="2" t="s">
        <v>161</v>
      </c>
      <c r="J16" s="31" t="s">
        <v>151</v>
      </c>
      <c r="L16" s="2" t="s">
        <v>162</v>
      </c>
      <c r="M16" s="2"/>
      <c r="N16" s="31" t="s">
        <v>151</v>
      </c>
      <c r="P16" s="2" t="s">
        <v>161</v>
      </c>
      <c r="Q16" s="31" t="s">
        <v>151</v>
      </c>
      <c r="S16" s="2" t="s">
        <v>162</v>
      </c>
      <c r="T16" s="2"/>
      <c r="U16" s="39"/>
      <c r="W16" s="2" t="s">
        <v>161</v>
      </c>
      <c r="X16" s="31" t="s">
        <v>151</v>
      </c>
      <c r="Z16" s="2" t="s">
        <v>162</v>
      </c>
      <c r="AA16" s="2"/>
      <c r="AB16" s="39"/>
    </row>
    <row r="17" spans="2:28" x14ac:dyDescent="0.3">
      <c r="B17" s="2" t="s">
        <v>163</v>
      </c>
      <c r="C17" s="39"/>
      <c r="E17" s="2" t="s">
        <v>164</v>
      </c>
      <c r="F17" s="2"/>
      <c r="G17" s="39"/>
      <c r="I17" s="2" t="s">
        <v>163</v>
      </c>
      <c r="J17" s="39"/>
      <c r="L17" s="2" t="s">
        <v>164</v>
      </c>
      <c r="M17" s="2"/>
      <c r="N17" s="31" t="s">
        <v>151</v>
      </c>
      <c r="P17" s="2" t="s">
        <v>163</v>
      </c>
      <c r="Q17" s="39"/>
      <c r="S17" s="2" t="s">
        <v>164</v>
      </c>
      <c r="T17" s="2"/>
      <c r="U17" s="39"/>
      <c r="W17" s="2" t="s">
        <v>163</v>
      </c>
      <c r="X17" s="31" t="s">
        <v>151</v>
      </c>
      <c r="Z17" s="2" t="s">
        <v>164</v>
      </c>
      <c r="AA17" s="2"/>
      <c r="AB17" s="31" t="s">
        <v>151</v>
      </c>
    </row>
    <row r="18" spans="2:28" ht="7.95" customHeight="1" thickBot="1" x14ac:dyDescent="0.35"/>
    <row r="19" spans="2:28" ht="7.95" customHeight="1" thickTop="1" x14ac:dyDescent="0.3">
      <c r="B19" s="32"/>
      <c r="C19" s="32"/>
      <c r="D19" s="32"/>
      <c r="E19" s="32"/>
      <c r="F19" s="32"/>
      <c r="G19" s="32"/>
      <c r="I19" s="32"/>
      <c r="J19" s="32"/>
      <c r="K19" s="32"/>
      <c r="L19" s="32"/>
      <c r="M19" s="32"/>
      <c r="N19" s="32"/>
      <c r="P19" s="32"/>
      <c r="Q19" s="32"/>
      <c r="R19" s="32"/>
      <c r="S19" s="32"/>
      <c r="T19" s="32"/>
      <c r="U19" s="32"/>
      <c r="W19" s="32"/>
      <c r="X19" s="32"/>
      <c r="Y19" s="32"/>
      <c r="Z19" s="32"/>
      <c r="AA19" s="32"/>
      <c r="AB19" s="32"/>
    </row>
    <row r="20" spans="2:28" x14ac:dyDescent="0.3">
      <c r="B20" t="s">
        <v>165</v>
      </c>
      <c r="C20" s="31">
        <v>1</v>
      </c>
      <c r="I20" t="s">
        <v>165</v>
      </c>
      <c r="J20" s="31">
        <v>1</v>
      </c>
      <c r="P20" t="s">
        <v>165</v>
      </c>
      <c r="Q20" s="31">
        <v>1</v>
      </c>
      <c r="W20" t="s">
        <v>165</v>
      </c>
      <c r="X20" s="31">
        <v>1</v>
      </c>
    </row>
    <row r="21" spans="2:28" x14ac:dyDescent="0.3">
      <c r="B21" t="s">
        <v>166</v>
      </c>
      <c r="C21" s="31">
        <v>1</v>
      </c>
      <c r="I21" t="s">
        <v>166</v>
      </c>
      <c r="J21" s="31">
        <v>1</v>
      </c>
      <c r="P21" t="s">
        <v>166</v>
      </c>
      <c r="Q21" s="31">
        <v>1</v>
      </c>
      <c r="W21" t="s">
        <v>166</v>
      </c>
      <c r="X21" s="31">
        <v>1</v>
      </c>
    </row>
    <row r="22" spans="2:28" x14ac:dyDescent="0.3">
      <c r="B22" t="s">
        <v>167</v>
      </c>
      <c r="C22" s="31" t="s">
        <v>168</v>
      </c>
      <c r="E22" s="50" t="s">
        <v>169</v>
      </c>
      <c r="I22" t="s">
        <v>167</v>
      </c>
      <c r="J22" s="31" t="s">
        <v>168</v>
      </c>
      <c r="L22" s="50" t="s">
        <v>169</v>
      </c>
      <c r="P22" t="s">
        <v>167</v>
      </c>
      <c r="Q22" s="31" t="s">
        <v>168</v>
      </c>
      <c r="S22" s="50" t="s">
        <v>169</v>
      </c>
      <c r="W22" t="s">
        <v>167</v>
      </c>
      <c r="X22" s="31" t="s">
        <v>170</v>
      </c>
      <c r="Z22" s="50" t="s">
        <v>171</v>
      </c>
    </row>
    <row r="23" spans="2:28" ht="7.95" customHeight="1" thickBot="1" x14ac:dyDescent="0.35"/>
    <row r="24" spans="2:28" ht="7.95" customHeight="1" thickTop="1" x14ac:dyDescent="0.3">
      <c r="B24" s="32"/>
      <c r="C24" s="32"/>
      <c r="D24" s="32"/>
      <c r="E24" s="32"/>
      <c r="F24" s="32"/>
      <c r="G24" s="32"/>
      <c r="I24" s="32"/>
      <c r="J24" s="32"/>
      <c r="K24" s="32"/>
      <c r="L24" s="32"/>
      <c r="M24" s="32"/>
      <c r="N24" s="32"/>
      <c r="P24" s="32"/>
      <c r="Q24" s="32"/>
      <c r="R24" s="32"/>
      <c r="S24" s="32"/>
      <c r="T24" s="32"/>
      <c r="U24" s="32"/>
      <c r="W24" s="32"/>
      <c r="X24" s="32"/>
      <c r="Y24" s="32"/>
      <c r="Z24" s="32"/>
      <c r="AA24" s="32"/>
      <c r="AB24" s="32"/>
    </row>
    <row r="25" spans="2:28" x14ac:dyDescent="0.3">
      <c r="B25" s="24" t="s">
        <v>172</v>
      </c>
      <c r="C25" s="37" t="s">
        <v>173</v>
      </c>
      <c r="E25" s="37" t="s">
        <v>174</v>
      </c>
      <c r="I25" s="24" t="s">
        <v>172</v>
      </c>
      <c r="J25" s="37" t="s">
        <v>173</v>
      </c>
      <c r="L25" s="37" t="s">
        <v>174</v>
      </c>
      <c r="P25" s="24" t="s">
        <v>172</v>
      </c>
      <c r="Q25" s="37" t="s">
        <v>173</v>
      </c>
      <c r="S25" s="37" t="s">
        <v>174</v>
      </c>
      <c r="W25" s="24" t="s">
        <v>172</v>
      </c>
      <c r="X25" s="37" t="s">
        <v>173</v>
      </c>
      <c r="Z25" s="37" t="s">
        <v>174</v>
      </c>
    </row>
    <row r="26" spans="2:28" ht="3.6" customHeight="1" x14ac:dyDescent="0.3">
      <c r="C26" s="37"/>
      <c r="J26" s="37"/>
      <c r="Q26" s="37"/>
      <c r="X26" s="37"/>
    </row>
    <row r="27" spans="2:28" x14ac:dyDescent="0.3">
      <c r="B27" s="2" t="s">
        <v>147</v>
      </c>
      <c r="C27" s="115">
        <v>796</v>
      </c>
      <c r="E27" s="115">
        <v>794</v>
      </c>
      <c r="F27" s="26" t="s">
        <v>175</v>
      </c>
      <c r="I27" s="2" t="s">
        <v>147</v>
      </c>
      <c r="J27" s="115">
        <v>507</v>
      </c>
      <c r="L27" s="115">
        <v>506</v>
      </c>
      <c r="M27" s="26" t="s">
        <v>175</v>
      </c>
      <c r="P27" s="2" t="s">
        <v>147</v>
      </c>
      <c r="Q27" s="115">
        <v>803</v>
      </c>
      <c r="S27" s="115">
        <v>802</v>
      </c>
      <c r="T27" s="26" t="s">
        <v>175</v>
      </c>
      <c r="W27" s="2" t="s">
        <v>147</v>
      </c>
      <c r="X27" s="115">
        <v>636</v>
      </c>
      <c r="Z27" s="115">
        <v>635</v>
      </c>
      <c r="AA27" s="26" t="s">
        <v>175</v>
      </c>
    </row>
    <row r="28" spans="2:28" x14ac:dyDescent="0.3">
      <c r="B28" s="2" t="s">
        <v>176</v>
      </c>
      <c r="C28" s="115">
        <v>-227</v>
      </c>
      <c r="E28" s="115">
        <v>-225</v>
      </c>
      <c r="F28" s="26" t="s">
        <v>175</v>
      </c>
      <c r="I28" s="2" t="s">
        <v>176</v>
      </c>
      <c r="J28" s="115">
        <v>-131</v>
      </c>
      <c r="L28" s="115">
        <v>-130</v>
      </c>
      <c r="M28" s="26" t="s">
        <v>175</v>
      </c>
      <c r="P28" s="2" t="s">
        <v>176</v>
      </c>
      <c r="Q28" s="115">
        <v>-127</v>
      </c>
      <c r="S28" s="115">
        <v>-126</v>
      </c>
      <c r="T28" s="26" t="s">
        <v>175</v>
      </c>
      <c r="W28" s="2" t="s">
        <v>176</v>
      </c>
      <c r="X28" s="115">
        <v>-95</v>
      </c>
      <c r="Z28" s="115">
        <v>-95</v>
      </c>
      <c r="AA28" s="26" t="s">
        <v>175</v>
      </c>
    </row>
    <row r="29" spans="2:28" x14ac:dyDescent="0.3">
      <c r="B29" s="2" t="s">
        <v>106</v>
      </c>
      <c r="C29" s="35">
        <f>SUM(C27:C28)</f>
        <v>569</v>
      </c>
      <c r="E29" s="38">
        <v>568</v>
      </c>
      <c r="F29" s="26" t="s">
        <v>175</v>
      </c>
      <c r="I29" s="2" t="s">
        <v>106</v>
      </c>
      <c r="J29" s="35">
        <f>SUM(J27:J28)</f>
        <v>376</v>
      </c>
      <c r="L29" s="35">
        <v>376</v>
      </c>
      <c r="M29" s="26" t="s">
        <v>175</v>
      </c>
      <c r="P29" s="2" t="s">
        <v>106</v>
      </c>
      <c r="Q29" s="35">
        <f>SUM(Q27:Q28)</f>
        <v>676</v>
      </c>
      <c r="S29" s="35">
        <v>676</v>
      </c>
      <c r="T29" s="26" t="s">
        <v>175</v>
      </c>
      <c r="W29" s="2" t="s">
        <v>106</v>
      </c>
      <c r="X29" s="35">
        <f>SUM(X27:X28)</f>
        <v>541</v>
      </c>
      <c r="Z29" s="35">
        <v>540</v>
      </c>
      <c r="AA29" s="26" t="s">
        <v>175</v>
      </c>
    </row>
    <row r="30" spans="2:28" ht="7.95" customHeight="1" thickBot="1" x14ac:dyDescent="0.35">
      <c r="B30" s="2"/>
      <c r="I30" s="2"/>
      <c r="P30" s="2"/>
      <c r="W30" s="2"/>
    </row>
    <row r="31" spans="2:28" ht="7.95" customHeight="1" thickTop="1" x14ac:dyDescent="0.3">
      <c r="B31" s="32"/>
      <c r="C31" s="32"/>
      <c r="D31" s="32"/>
      <c r="E31" s="32"/>
      <c r="F31" s="32"/>
      <c r="G31" s="32"/>
      <c r="I31" s="32"/>
      <c r="J31" s="32"/>
      <c r="K31" s="32"/>
      <c r="L31" s="32"/>
      <c r="M31" s="32"/>
      <c r="N31" s="32"/>
      <c r="P31" s="32"/>
      <c r="Q31" s="32"/>
      <c r="R31" s="32"/>
      <c r="S31" s="32"/>
      <c r="T31" s="32"/>
      <c r="U31" s="32"/>
      <c r="W31" s="32"/>
      <c r="X31" s="32"/>
      <c r="Y31" s="32"/>
      <c r="Z31" s="32"/>
      <c r="AA31" s="32"/>
      <c r="AB31" s="32"/>
    </row>
    <row r="32" spans="2:28" x14ac:dyDescent="0.3">
      <c r="B32" t="s">
        <v>177</v>
      </c>
      <c r="C32" s="35">
        <v>292</v>
      </c>
      <c r="E32" s="35">
        <v>291</v>
      </c>
      <c r="F32" s="26" t="s">
        <v>175</v>
      </c>
      <c r="I32" t="s">
        <v>177</v>
      </c>
      <c r="J32" s="35">
        <v>132</v>
      </c>
      <c r="L32" s="35">
        <v>132</v>
      </c>
      <c r="M32" s="26" t="s">
        <v>175</v>
      </c>
      <c r="P32" t="s">
        <v>177</v>
      </c>
      <c r="Q32" s="35">
        <v>304</v>
      </c>
      <c r="S32" s="35">
        <v>303</v>
      </c>
      <c r="T32" s="26" t="s">
        <v>175</v>
      </c>
      <c r="W32" t="s">
        <v>177</v>
      </c>
      <c r="X32" s="35">
        <v>201</v>
      </c>
      <c r="Z32" s="35">
        <v>203</v>
      </c>
      <c r="AA32" s="26" t="s">
        <v>175</v>
      </c>
    </row>
    <row r="33" spans="2:27" x14ac:dyDescent="0.3">
      <c r="B33" s="2" t="s">
        <v>178</v>
      </c>
      <c r="C33" s="36">
        <v>28</v>
      </c>
      <c r="E33" s="116">
        <v>26</v>
      </c>
      <c r="F33" s="26" t="s">
        <v>179</v>
      </c>
      <c r="I33" s="2" t="s">
        <v>178</v>
      </c>
      <c r="J33" s="36">
        <v>69</v>
      </c>
      <c r="L33" s="116">
        <v>63</v>
      </c>
      <c r="M33" s="26" t="s">
        <v>179</v>
      </c>
      <c r="P33" s="2" t="s">
        <v>178</v>
      </c>
      <c r="Q33" s="36">
        <v>34</v>
      </c>
      <c r="S33" s="116">
        <v>30</v>
      </c>
      <c r="T33" s="26" t="s">
        <v>179</v>
      </c>
      <c r="W33" s="2" t="s">
        <v>178</v>
      </c>
      <c r="X33" s="36">
        <v>55</v>
      </c>
      <c r="Z33" s="116">
        <v>47</v>
      </c>
      <c r="AA33" s="26" t="s">
        <v>179</v>
      </c>
    </row>
  </sheetData>
  <mergeCells count="1">
    <mergeCell ref="B2:A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35C6-3E11-4188-B71D-0AC0F3A93BCB}">
  <sheetPr>
    <tabColor theme="1"/>
  </sheetPr>
  <dimension ref="B1:AI33"/>
  <sheetViews>
    <sheetView showGridLines="0" zoomScale="80" zoomScaleNormal="80" workbookViewId="0">
      <selection activeCell="B2" sqref="B2:AI2"/>
    </sheetView>
  </sheetViews>
  <sheetFormatPr baseColWidth="10" defaultColWidth="11.44140625" defaultRowHeight="14.4" x14ac:dyDescent="0.3"/>
  <cols>
    <col min="1" max="1" width="1.44140625" customWidth="1"/>
    <col min="2" max="2" width="15.6640625" customWidth="1"/>
    <col min="3" max="3" width="8.33203125" customWidth="1"/>
    <col min="4" max="4" width="2.6640625" customWidth="1"/>
    <col min="5" max="7" width="8.33203125" customWidth="1"/>
    <col min="8" max="8" width="2.109375" customWidth="1"/>
    <col min="9" max="9" width="15.6640625" customWidth="1"/>
    <col min="10" max="10" width="8.33203125" customWidth="1"/>
    <col min="11" max="11" width="2.6640625" customWidth="1"/>
    <col min="12" max="14" width="8.33203125" customWidth="1"/>
    <col min="15" max="15" width="2.109375" customWidth="1"/>
    <col min="16" max="16" width="15.6640625" customWidth="1"/>
    <col min="17" max="17" width="8.33203125" customWidth="1"/>
    <col min="18" max="18" width="2.6640625" customWidth="1"/>
    <col min="19" max="21" width="8.33203125" customWidth="1"/>
    <col min="22" max="22" width="2.109375" customWidth="1"/>
    <col min="23" max="23" width="15.6640625" customWidth="1"/>
    <col min="24" max="24" width="8.33203125" customWidth="1"/>
    <col min="25" max="25" width="2.6640625" customWidth="1"/>
    <col min="26" max="28" width="8.33203125" customWidth="1"/>
    <col min="29" max="29" width="2.109375" customWidth="1"/>
    <col min="30" max="30" width="15.6640625" customWidth="1"/>
    <col min="31" max="31" width="8.33203125" customWidth="1"/>
    <col min="32" max="32" width="2.6640625" customWidth="1"/>
    <col min="33" max="35" width="8.33203125" customWidth="1"/>
  </cols>
  <sheetData>
    <row r="1" spans="2:35" ht="6" customHeight="1" x14ac:dyDescent="0.3"/>
    <row r="2" spans="2:35" ht="28.2" customHeight="1" x14ac:dyDescent="0.3">
      <c r="B2" s="185" t="s">
        <v>117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</row>
    <row r="3" spans="2:35" ht="6" customHeight="1" x14ac:dyDescent="0.3"/>
    <row r="4" spans="2:35" ht="18" x14ac:dyDescent="0.35">
      <c r="B4" s="108" t="s">
        <v>72</v>
      </c>
      <c r="C4" s="108" t="s">
        <v>73</v>
      </c>
      <c r="D4" s="105"/>
      <c r="E4" s="105"/>
      <c r="F4" s="105"/>
      <c r="G4" s="105"/>
      <c r="I4" s="109" t="s">
        <v>78</v>
      </c>
      <c r="J4" s="109" t="s">
        <v>79</v>
      </c>
      <c r="K4" s="105"/>
      <c r="L4" s="105"/>
      <c r="M4" s="105"/>
      <c r="N4" s="105"/>
      <c r="P4" s="110" t="s">
        <v>54</v>
      </c>
      <c r="Q4" s="110" t="s">
        <v>55</v>
      </c>
      <c r="R4" s="105"/>
      <c r="S4" s="105"/>
      <c r="T4" s="105"/>
      <c r="U4" s="105"/>
      <c r="W4" s="117" t="s">
        <v>52</v>
      </c>
      <c r="X4" s="117" t="s">
        <v>53</v>
      </c>
      <c r="Y4" s="118"/>
      <c r="Z4" s="105"/>
      <c r="AA4" s="105"/>
      <c r="AB4" s="105"/>
      <c r="AD4" s="113" t="s">
        <v>67</v>
      </c>
      <c r="AE4" s="113" t="s">
        <v>180</v>
      </c>
      <c r="AF4" s="105"/>
      <c r="AG4" s="105"/>
      <c r="AH4" s="105"/>
      <c r="AI4" s="105"/>
    </row>
    <row r="5" spans="2:35" ht="7.95" customHeight="1" x14ac:dyDescent="0.3"/>
    <row r="6" spans="2:35" x14ac:dyDescent="0.3">
      <c r="B6" s="2" t="s">
        <v>112</v>
      </c>
      <c r="C6" s="106">
        <v>76</v>
      </c>
      <c r="E6" s="2" t="s">
        <v>145</v>
      </c>
      <c r="F6" s="2"/>
      <c r="G6" s="106">
        <v>5</v>
      </c>
      <c r="I6" s="2" t="s">
        <v>112</v>
      </c>
      <c r="J6" s="106">
        <v>64</v>
      </c>
      <c r="L6" s="2" t="s">
        <v>145</v>
      </c>
      <c r="M6" s="2"/>
      <c r="N6" s="106">
        <v>5</v>
      </c>
      <c r="P6" s="2" t="s">
        <v>112</v>
      </c>
      <c r="Q6" s="106">
        <v>85</v>
      </c>
      <c r="S6" s="2" t="s">
        <v>145</v>
      </c>
      <c r="T6" s="2"/>
      <c r="U6" s="106">
        <v>5</v>
      </c>
      <c r="W6" s="2" t="s">
        <v>112</v>
      </c>
      <c r="X6" s="106">
        <v>93</v>
      </c>
      <c r="Z6" s="2" t="s">
        <v>145</v>
      </c>
      <c r="AA6" s="2"/>
      <c r="AB6" s="106">
        <v>6</v>
      </c>
      <c r="AD6" s="2" t="s">
        <v>112</v>
      </c>
      <c r="AE6" s="106">
        <v>98</v>
      </c>
      <c r="AG6" s="2" t="s">
        <v>145</v>
      </c>
      <c r="AH6" s="2"/>
      <c r="AI6" s="106">
        <v>6</v>
      </c>
    </row>
    <row r="7" spans="2:35" x14ac:dyDescent="0.3">
      <c r="B7" s="2" t="s">
        <v>146</v>
      </c>
      <c r="C7" s="111">
        <v>1.5</v>
      </c>
      <c r="E7" s="7" t="s">
        <v>147</v>
      </c>
      <c r="F7" s="7"/>
      <c r="G7" s="107">
        <v>0.9</v>
      </c>
      <c r="I7" s="2" t="s">
        <v>146</v>
      </c>
      <c r="J7" s="111">
        <v>1.5</v>
      </c>
      <c r="L7" s="7" t="s">
        <v>147</v>
      </c>
      <c r="M7" s="7"/>
      <c r="N7" s="107">
        <v>0.7</v>
      </c>
      <c r="P7" s="2" t="s">
        <v>146</v>
      </c>
      <c r="Q7" s="111">
        <v>1.5</v>
      </c>
      <c r="S7" s="7" t="s">
        <v>147</v>
      </c>
      <c r="T7" s="7"/>
      <c r="U7" s="107">
        <v>0.8</v>
      </c>
      <c r="W7" s="2" t="s">
        <v>146</v>
      </c>
      <c r="X7" s="111">
        <v>1.5</v>
      </c>
      <c r="Z7" s="7" t="s">
        <v>147</v>
      </c>
      <c r="AA7" s="7"/>
      <c r="AB7" s="107">
        <v>0.7</v>
      </c>
      <c r="AD7" s="2" t="s">
        <v>146</v>
      </c>
      <c r="AE7" s="111">
        <v>1.5</v>
      </c>
      <c r="AG7" s="7" t="s">
        <v>147</v>
      </c>
      <c r="AH7" s="7"/>
      <c r="AI7" s="107">
        <v>0.7</v>
      </c>
    </row>
    <row r="8" spans="2:35" x14ac:dyDescent="0.3">
      <c r="B8" s="2" t="s">
        <v>148</v>
      </c>
      <c r="C8" s="112">
        <v>0.7</v>
      </c>
      <c r="E8" s="7" t="s">
        <v>149</v>
      </c>
      <c r="F8" s="7"/>
      <c r="G8" s="107">
        <v>0.1</v>
      </c>
      <c r="I8" s="2" t="s">
        <v>148</v>
      </c>
      <c r="J8" s="112">
        <v>0.7</v>
      </c>
      <c r="L8" s="7" t="s">
        <v>149</v>
      </c>
      <c r="M8" s="7"/>
      <c r="N8" s="107">
        <v>0.3</v>
      </c>
      <c r="P8" s="2" t="s">
        <v>148</v>
      </c>
      <c r="Q8" s="112">
        <v>0.7</v>
      </c>
      <c r="S8" s="7" t="s">
        <v>149</v>
      </c>
      <c r="T8" s="7"/>
      <c r="U8" s="107">
        <v>0.2</v>
      </c>
      <c r="W8" s="2" t="s">
        <v>148</v>
      </c>
      <c r="X8" s="112">
        <v>0.7</v>
      </c>
      <c r="Z8" s="7" t="s">
        <v>149</v>
      </c>
      <c r="AA8" s="7"/>
      <c r="AB8" s="107">
        <v>0.3</v>
      </c>
      <c r="AD8" s="2" t="s">
        <v>148</v>
      </c>
      <c r="AE8" s="112">
        <v>0.7</v>
      </c>
      <c r="AG8" s="7" t="s">
        <v>149</v>
      </c>
      <c r="AH8" s="7"/>
      <c r="AI8" s="107">
        <v>0.3</v>
      </c>
    </row>
    <row r="9" spans="2:35" ht="7.95" customHeight="1" thickBot="1" x14ac:dyDescent="0.35"/>
    <row r="10" spans="2:35" ht="7.95" customHeight="1" thickTop="1" x14ac:dyDescent="0.3">
      <c r="B10" s="32"/>
      <c r="C10" s="32"/>
      <c r="D10" s="32"/>
      <c r="E10" s="32"/>
      <c r="F10" s="32"/>
      <c r="G10" s="32"/>
      <c r="I10" s="32"/>
      <c r="J10" s="32"/>
      <c r="K10" s="32"/>
      <c r="L10" s="32"/>
      <c r="M10" s="32"/>
      <c r="N10" s="32"/>
      <c r="P10" s="32"/>
      <c r="Q10" s="32"/>
      <c r="R10" s="32"/>
      <c r="S10" s="32"/>
      <c r="T10" s="32"/>
      <c r="U10" s="32"/>
      <c r="W10" s="32"/>
      <c r="X10" s="32"/>
      <c r="Y10" s="32"/>
      <c r="Z10" s="32"/>
      <c r="AA10" s="32"/>
      <c r="AB10" s="32"/>
      <c r="AD10" s="32"/>
      <c r="AE10" s="32"/>
      <c r="AF10" s="32"/>
      <c r="AG10" s="32"/>
      <c r="AH10" s="32"/>
      <c r="AI10" s="32"/>
    </row>
    <row r="11" spans="2:35" x14ac:dyDescent="0.3">
      <c r="B11" s="2" t="s">
        <v>150</v>
      </c>
      <c r="C11" s="31" t="s">
        <v>151</v>
      </c>
      <c r="E11" s="2" t="s">
        <v>152</v>
      </c>
      <c r="F11" s="2"/>
      <c r="G11" s="31" t="s">
        <v>151</v>
      </c>
      <c r="I11" s="2" t="s">
        <v>150</v>
      </c>
      <c r="J11" s="31" t="s">
        <v>151</v>
      </c>
      <c r="L11" s="2" t="s">
        <v>152</v>
      </c>
      <c r="M11" s="2"/>
      <c r="N11" s="31" t="s">
        <v>151</v>
      </c>
      <c r="P11" s="2" t="s">
        <v>150</v>
      </c>
      <c r="Q11" s="31" t="s">
        <v>151</v>
      </c>
      <c r="S11" s="2" t="s">
        <v>152</v>
      </c>
      <c r="T11" s="2"/>
      <c r="U11" s="31" t="s">
        <v>151</v>
      </c>
      <c r="W11" s="2" t="s">
        <v>150</v>
      </c>
      <c r="X11" s="31" t="s">
        <v>151</v>
      </c>
      <c r="Z11" s="2" t="s">
        <v>152</v>
      </c>
      <c r="AA11" s="2"/>
      <c r="AB11" s="31" t="s">
        <v>151</v>
      </c>
      <c r="AD11" s="2" t="s">
        <v>150</v>
      </c>
      <c r="AE11" s="31" t="s">
        <v>151</v>
      </c>
      <c r="AG11" s="2" t="s">
        <v>152</v>
      </c>
      <c r="AH11" s="2"/>
      <c r="AI11" s="31" t="s">
        <v>151</v>
      </c>
    </row>
    <row r="12" spans="2:35" x14ac:dyDescent="0.3">
      <c r="B12" s="2" t="s">
        <v>153</v>
      </c>
      <c r="C12" s="31" t="s">
        <v>151</v>
      </c>
      <c r="E12" s="2" t="s">
        <v>154</v>
      </c>
      <c r="F12" s="2"/>
      <c r="G12" s="39"/>
      <c r="I12" s="2" t="s">
        <v>153</v>
      </c>
      <c r="J12" s="31" t="s">
        <v>151</v>
      </c>
      <c r="L12" s="2" t="s">
        <v>154</v>
      </c>
      <c r="M12" s="2"/>
      <c r="N12" s="31" t="s">
        <v>151</v>
      </c>
      <c r="P12" s="2" t="s">
        <v>153</v>
      </c>
      <c r="Q12" s="31" t="s">
        <v>151</v>
      </c>
      <c r="S12" s="2" t="s">
        <v>154</v>
      </c>
      <c r="T12" s="2"/>
      <c r="U12" s="31" t="s">
        <v>151</v>
      </c>
      <c r="W12" s="2" t="s">
        <v>153</v>
      </c>
      <c r="X12" s="31" t="s">
        <v>151</v>
      </c>
      <c r="Z12" s="2" t="s">
        <v>154</v>
      </c>
      <c r="AA12" s="2"/>
      <c r="AB12" s="31" t="s">
        <v>151</v>
      </c>
      <c r="AD12" s="2" t="s">
        <v>153</v>
      </c>
      <c r="AE12" s="31" t="s">
        <v>151</v>
      </c>
      <c r="AG12" s="2" t="s">
        <v>154</v>
      </c>
      <c r="AH12" s="2"/>
      <c r="AI12" s="31" t="s">
        <v>151</v>
      </c>
    </row>
    <row r="13" spans="2:35" x14ac:dyDescent="0.3">
      <c r="B13" s="2" t="s">
        <v>155</v>
      </c>
      <c r="C13" s="31" t="s">
        <v>151</v>
      </c>
      <c r="E13" s="2" t="s">
        <v>156</v>
      </c>
      <c r="F13" s="2"/>
      <c r="G13" s="39"/>
      <c r="I13" s="2" t="s">
        <v>155</v>
      </c>
      <c r="J13" s="31" t="s">
        <v>151</v>
      </c>
      <c r="L13" s="2" t="s">
        <v>156</v>
      </c>
      <c r="M13" s="2"/>
      <c r="N13" s="39"/>
      <c r="P13" s="2" t="s">
        <v>155</v>
      </c>
      <c r="Q13" s="31" t="s">
        <v>151</v>
      </c>
      <c r="S13" s="2" t="s">
        <v>156</v>
      </c>
      <c r="T13" s="2"/>
      <c r="U13" s="39"/>
      <c r="W13" s="2" t="s">
        <v>155</v>
      </c>
      <c r="X13" s="31" t="s">
        <v>151</v>
      </c>
      <c r="Z13" s="2" t="s">
        <v>156</v>
      </c>
      <c r="AA13" s="2"/>
      <c r="AB13" s="31" t="s">
        <v>151</v>
      </c>
      <c r="AD13" s="2" t="s">
        <v>155</v>
      </c>
      <c r="AE13" s="31" t="s">
        <v>151</v>
      </c>
      <c r="AG13" s="2" t="s">
        <v>156</v>
      </c>
      <c r="AH13" s="2"/>
      <c r="AI13" s="31" t="s">
        <v>151</v>
      </c>
    </row>
    <row r="14" spans="2:35" x14ac:dyDescent="0.3">
      <c r="B14" s="2" t="s">
        <v>157</v>
      </c>
      <c r="C14" s="31" t="s">
        <v>151</v>
      </c>
      <c r="E14" s="2" t="s">
        <v>158</v>
      </c>
      <c r="F14" s="2"/>
      <c r="G14" s="39"/>
      <c r="I14" s="2" t="s">
        <v>157</v>
      </c>
      <c r="J14" s="31" t="s">
        <v>151</v>
      </c>
      <c r="L14" s="2" t="s">
        <v>158</v>
      </c>
      <c r="M14" s="2"/>
      <c r="N14" s="39"/>
      <c r="P14" s="2" t="s">
        <v>157</v>
      </c>
      <c r="Q14" s="31" t="s">
        <v>151</v>
      </c>
      <c r="S14" s="2" t="s">
        <v>158</v>
      </c>
      <c r="T14" s="2"/>
      <c r="U14" s="39"/>
      <c r="W14" s="2" t="s">
        <v>157</v>
      </c>
      <c r="X14" s="31" t="s">
        <v>151</v>
      </c>
      <c r="Z14" s="2" t="s">
        <v>158</v>
      </c>
      <c r="AA14" s="2"/>
      <c r="AB14" s="31" t="s">
        <v>151</v>
      </c>
      <c r="AD14" s="2" t="s">
        <v>157</v>
      </c>
      <c r="AE14" s="31" t="s">
        <v>151</v>
      </c>
      <c r="AG14" s="2" t="s">
        <v>158</v>
      </c>
      <c r="AH14" s="2"/>
      <c r="AI14" s="39"/>
    </row>
    <row r="15" spans="2:35" x14ac:dyDescent="0.3">
      <c r="B15" s="2" t="s">
        <v>159</v>
      </c>
      <c r="C15" s="31" t="s">
        <v>151</v>
      </c>
      <c r="E15" s="2" t="s">
        <v>160</v>
      </c>
      <c r="F15" s="2"/>
      <c r="G15" s="39"/>
      <c r="I15" s="2" t="s">
        <v>159</v>
      </c>
      <c r="J15" s="31" t="s">
        <v>151</v>
      </c>
      <c r="L15" s="2" t="s">
        <v>160</v>
      </c>
      <c r="M15" s="2"/>
      <c r="N15" s="39"/>
      <c r="P15" s="2" t="s">
        <v>159</v>
      </c>
      <c r="Q15" s="31" t="s">
        <v>151</v>
      </c>
      <c r="S15" s="2" t="s">
        <v>160</v>
      </c>
      <c r="T15" s="2"/>
      <c r="U15" s="39"/>
      <c r="W15" s="2" t="s">
        <v>159</v>
      </c>
      <c r="X15" s="31" t="s">
        <v>151</v>
      </c>
      <c r="Z15" s="2" t="s">
        <v>160</v>
      </c>
      <c r="AA15" s="2"/>
      <c r="AB15" s="39"/>
      <c r="AD15" s="2" t="s">
        <v>159</v>
      </c>
      <c r="AE15" s="31" t="s">
        <v>151</v>
      </c>
      <c r="AG15" s="2" t="s">
        <v>160</v>
      </c>
      <c r="AH15" s="2"/>
      <c r="AI15" s="39"/>
    </row>
    <row r="16" spans="2:35" x14ac:dyDescent="0.3">
      <c r="B16" s="2" t="s">
        <v>161</v>
      </c>
      <c r="C16" s="31" t="s">
        <v>151</v>
      </c>
      <c r="E16" s="2" t="s">
        <v>162</v>
      </c>
      <c r="F16" s="2"/>
      <c r="G16" s="39"/>
      <c r="I16" s="2" t="s">
        <v>161</v>
      </c>
      <c r="J16" s="31" t="s">
        <v>151</v>
      </c>
      <c r="L16" s="2" t="s">
        <v>162</v>
      </c>
      <c r="M16" s="2"/>
      <c r="N16" s="31" t="s">
        <v>151</v>
      </c>
      <c r="P16" s="2" t="s">
        <v>161</v>
      </c>
      <c r="Q16" s="31" t="s">
        <v>151</v>
      </c>
      <c r="S16" s="2" t="s">
        <v>162</v>
      </c>
      <c r="T16" s="2"/>
      <c r="U16" s="39"/>
      <c r="W16" s="2" t="s">
        <v>161</v>
      </c>
      <c r="X16" s="31" t="s">
        <v>151</v>
      </c>
      <c r="Z16" s="2" t="s">
        <v>162</v>
      </c>
      <c r="AA16" s="2"/>
      <c r="AB16" s="39"/>
      <c r="AD16" s="2" t="s">
        <v>161</v>
      </c>
      <c r="AE16" s="31" t="s">
        <v>151</v>
      </c>
      <c r="AG16" s="2" t="s">
        <v>162</v>
      </c>
      <c r="AH16" s="2"/>
      <c r="AI16" s="39"/>
    </row>
    <row r="17" spans="2:35" x14ac:dyDescent="0.3">
      <c r="B17" s="2" t="s">
        <v>163</v>
      </c>
      <c r="C17" s="39"/>
      <c r="E17" s="2" t="s">
        <v>164</v>
      </c>
      <c r="F17" s="2"/>
      <c r="G17" s="39"/>
      <c r="I17" s="2" t="s">
        <v>163</v>
      </c>
      <c r="J17" s="39"/>
      <c r="L17" s="2" t="s">
        <v>164</v>
      </c>
      <c r="M17" s="2"/>
      <c r="N17" s="31" t="s">
        <v>151</v>
      </c>
      <c r="P17" s="2" t="s">
        <v>163</v>
      </c>
      <c r="Q17" s="39"/>
      <c r="S17" s="2" t="s">
        <v>164</v>
      </c>
      <c r="T17" s="2"/>
      <c r="U17" s="39"/>
      <c r="W17" s="2" t="s">
        <v>163</v>
      </c>
      <c r="X17" s="31" t="s">
        <v>151</v>
      </c>
      <c r="Z17" s="2" t="s">
        <v>164</v>
      </c>
      <c r="AA17" s="2"/>
      <c r="AB17" s="39"/>
      <c r="AD17" s="2" t="s">
        <v>163</v>
      </c>
      <c r="AE17" s="31" t="s">
        <v>151</v>
      </c>
      <c r="AG17" s="2" t="s">
        <v>164</v>
      </c>
      <c r="AH17" s="2"/>
      <c r="AI17" s="31" t="s">
        <v>151</v>
      </c>
    </row>
    <row r="18" spans="2:35" ht="7.95" customHeight="1" thickBot="1" x14ac:dyDescent="0.35"/>
    <row r="19" spans="2:35" ht="7.95" customHeight="1" thickTop="1" x14ac:dyDescent="0.3">
      <c r="B19" s="32"/>
      <c r="C19" s="32"/>
      <c r="D19" s="32"/>
      <c r="E19" s="32"/>
      <c r="F19" s="32"/>
      <c r="G19" s="32"/>
      <c r="I19" s="32"/>
      <c r="J19" s="32"/>
      <c r="K19" s="32"/>
      <c r="L19" s="32"/>
      <c r="M19" s="32"/>
      <c r="N19" s="32"/>
      <c r="P19" s="32"/>
      <c r="Q19" s="32"/>
      <c r="R19" s="32"/>
      <c r="S19" s="32"/>
      <c r="T19" s="32"/>
      <c r="U19" s="32"/>
      <c r="W19" s="32"/>
      <c r="X19" s="32"/>
      <c r="Y19" s="32"/>
      <c r="Z19" s="32"/>
      <c r="AA19" s="32"/>
      <c r="AB19" s="32"/>
      <c r="AD19" s="32"/>
      <c r="AE19" s="32"/>
      <c r="AF19" s="32"/>
      <c r="AG19" s="32"/>
      <c r="AH19" s="32"/>
      <c r="AI19" s="32"/>
    </row>
    <row r="20" spans="2:35" x14ac:dyDescent="0.3">
      <c r="B20" t="s">
        <v>181</v>
      </c>
      <c r="C20" s="31">
        <v>1</v>
      </c>
      <c r="I20" t="s">
        <v>181</v>
      </c>
      <c r="J20" s="31">
        <v>1</v>
      </c>
      <c r="P20" t="s">
        <v>181</v>
      </c>
      <c r="Q20" s="31">
        <v>1</v>
      </c>
      <c r="W20" t="s">
        <v>181</v>
      </c>
      <c r="X20" s="31">
        <v>1</v>
      </c>
      <c r="AD20" t="s">
        <v>181</v>
      </c>
      <c r="AE20" s="31">
        <v>1</v>
      </c>
    </row>
    <row r="21" spans="2:35" x14ac:dyDescent="0.3">
      <c r="B21" t="s">
        <v>166</v>
      </c>
      <c r="C21" s="31">
        <v>1</v>
      </c>
      <c r="I21" t="s">
        <v>166</v>
      </c>
      <c r="J21" s="31">
        <v>1</v>
      </c>
      <c r="P21" t="s">
        <v>166</v>
      </c>
      <c r="Q21" s="31">
        <v>1</v>
      </c>
      <c r="W21" t="s">
        <v>166</v>
      </c>
      <c r="X21" s="31">
        <v>1</v>
      </c>
      <c r="AD21" t="s">
        <v>166</v>
      </c>
      <c r="AE21" s="31">
        <v>1</v>
      </c>
    </row>
    <row r="22" spans="2:35" x14ac:dyDescent="0.3">
      <c r="B22" t="s">
        <v>167</v>
      </c>
      <c r="C22" s="31" t="s">
        <v>168</v>
      </c>
      <c r="E22" s="50" t="s">
        <v>169</v>
      </c>
      <c r="I22" t="s">
        <v>167</v>
      </c>
      <c r="J22" s="31" t="s">
        <v>168</v>
      </c>
      <c r="L22" s="50" t="s">
        <v>169</v>
      </c>
      <c r="P22" t="s">
        <v>167</v>
      </c>
      <c r="Q22" s="31" t="s">
        <v>168</v>
      </c>
      <c r="S22" s="50" t="s">
        <v>169</v>
      </c>
      <c r="W22" t="s">
        <v>167</v>
      </c>
      <c r="X22" s="31" t="s">
        <v>170</v>
      </c>
      <c r="Z22" s="50" t="s">
        <v>171</v>
      </c>
      <c r="AD22" t="s">
        <v>167</v>
      </c>
      <c r="AE22" s="31" t="s">
        <v>170</v>
      </c>
      <c r="AG22" s="50" t="s">
        <v>171</v>
      </c>
    </row>
    <row r="23" spans="2:35" ht="7.95" customHeight="1" thickBot="1" x14ac:dyDescent="0.35"/>
    <row r="24" spans="2:35" ht="7.95" customHeight="1" thickTop="1" x14ac:dyDescent="0.3">
      <c r="B24" s="32"/>
      <c r="C24" s="32"/>
      <c r="D24" s="32"/>
      <c r="E24" s="32"/>
      <c r="F24" s="32"/>
      <c r="G24" s="32"/>
      <c r="I24" s="32"/>
      <c r="J24" s="32"/>
      <c r="K24" s="32"/>
      <c r="L24" s="32"/>
      <c r="M24" s="32"/>
      <c r="N24" s="32"/>
      <c r="P24" s="32"/>
      <c r="Q24" s="32"/>
      <c r="R24" s="32"/>
      <c r="S24" s="32"/>
      <c r="T24" s="32"/>
      <c r="U24" s="32"/>
      <c r="W24" s="32"/>
      <c r="X24" s="32"/>
      <c r="Y24" s="32"/>
      <c r="Z24" s="32"/>
      <c r="AA24" s="32"/>
      <c r="AB24" s="32"/>
      <c r="AD24" s="32"/>
      <c r="AE24" s="32"/>
      <c r="AF24" s="32"/>
      <c r="AG24" s="32"/>
      <c r="AH24" s="32"/>
      <c r="AI24" s="32"/>
    </row>
    <row r="25" spans="2:35" x14ac:dyDescent="0.3">
      <c r="B25" s="24" t="s">
        <v>172</v>
      </c>
      <c r="C25" s="37" t="s">
        <v>173</v>
      </c>
      <c r="E25" s="37" t="s">
        <v>174</v>
      </c>
      <c r="I25" s="24" t="s">
        <v>172</v>
      </c>
      <c r="J25" s="37" t="s">
        <v>173</v>
      </c>
      <c r="L25" s="37" t="s">
        <v>174</v>
      </c>
      <c r="P25" s="24" t="s">
        <v>172</v>
      </c>
      <c r="Q25" s="37" t="s">
        <v>173</v>
      </c>
      <c r="S25" s="37" t="s">
        <v>174</v>
      </c>
      <c r="W25" s="24" t="s">
        <v>172</v>
      </c>
      <c r="X25" s="37" t="s">
        <v>173</v>
      </c>
      <c r="Z25" s="37" t="s">
        <v>174</v>
      </c>
      <c r="AD25" s="24" t="s">
        <v>172</v>
      </c>
      <c r="AE25" s="37" t="s">
        <v>173</v>
      </c>
      <c r="AG25" s="37" t="s">
        <v>174</v>
      </c>
    </row>
    <row r="26" spans="2:35" ht="3.6" customHeight="1" x14ac:dyDescent="0.3">
      <c r="C26" s="37"/>
      <c r="J26" s="37"/>
      <c r="Q26" s="37"/>
      <c r="X26" s="37"/>
      <c r="AE26" s="37"/>
    </row>
    <row r="27" spans="2:35" x14ac:dyDescent="0.3">
      <c r="B27" s="2" t="s">
        <v>147</v>
      </c>
      <c r="C27" s="115">
        <v>600</v>
      </c>
      <c r="E27" s="115">
        <v>600</v>
      </c>
      <c r="F27" s="26" t="s">
        <v>175</v>
      </c>
      <c r="I27" s="2" t="s">
        <v>147</v>
      </c>
      <c r="J27" s="115">
        <v>74</v>
      </c>
      <c r="L27" s="115">
        <v>74</v>
      </c>
      <c r="M27" s="26" t="s">
        <v>175</v>
      </c>
      <c r="P27" s="2" t="s">
        <v>147</v>
      </c>
      <c r="Q27" s="115">
        <v>447</v>
      </c>
      <c r="S27" s="115">
        <v>447</v>
      </c>
      <c r="T27" s="26" t="s">
        <v>175</v>
      </c>
      <c r="W27" s="2" t="s">
        <v>147</v>
      </c>
      <c r="X27" s="115">
        <v>433</v>
      </c>
      <c r="Z27" s="115">
        <v>433</v>
      </c>
      <c r="AA27" s="26" t="s">
        <v>175</v>
      </c>
      <c r="AD27" s="2" t="s">
        <v>147</v>
      </c>
      <c r="AE27" s="115">
        <v>471</v>
      </c>
      <c r="AG27" s="115">
        <v>471</v>
      </c>
      <c r="AH27" s="26" t="s">
        <v>175</v>
      </c>
    </row>
    <row r="28" spans="2:35" x14ac:dyDescent="0.3">
      <c r="B28" s="2" t="s">
        <v>176</v>
      </c>
      <c r="C28" s="115">
        <v>-277</v>
      </c>
      <c r="E28" s="115">
        <v>-276</v>
      </c>
      <c r="F28" s="26" t="s">
        <v>175</v>
      </c>
      <c r="I28" s="2" t="s">
        <v>176</v>
      </c>
      <c r="J28" s="115">
        <v>-4</v>
      </c>
      <c r="L28" s="115">
        <v>-4</v>
      </c>
      <c r="M28" s="26" t="s">
        <v>175</v>
      </c>
      <c r="P28" s="2" t="s">
        <v>176</v>
      </c>
      <c r="Q28" s="115">
        <v>-123</v>
      </c>
      <c r="S28" s="115">
        <v>-123</v>
      </c>
      <c r="T28" s="26" t="s">
        <v>175</v>
      </c>
      <c r="W28" s="2" t="s">
        <v>176</v>
      </c>
      <c r="X28" s="115">
        <v>129</v>
      </c>
      <c r="Z28" s="115">
        <v>129</v>
      </c>
      <c r="AA28" s="26" t="s">
        <v>175</v>
      </c>
      <c r="AD28" s="2" t="s">
        <v>176</v>
      </c>
      <c r="AE28" s="115">
        <v>131</v>
      </c>
      <c r="AG28" s="115">
        <v>132</v>
      </c>
      <c r="AH28" s="26" t="s">
        <v>175</v>
      </c>
    </row>
    <row r="29" spans="2:35" x14ac:dyDescent="0.3">
      <c r="B29" s="2" t="s">
        <v>106</v>
      </c>
      <c r="C29" s="35">
        <f>SUM(C27:C28)</f>
        <v>323</v>
      </c>
      <c r="E29" s="35">
        <v>324</v>
      </c>
      <c r="F29" s="26" t="s">
        <v>175</v>
      </c>
      <c r="I29" s="2" t="s">
        <v>106</v>
      </c>
      <c r="J29" s="35">
        <f>SUM(J27:J28)</f>
        <v>70</v>
      </c>
      <c r="L29" s="35">
        <v>70</v>
      </c>
      <c r="M29" s="26" t="s">
        <v>175</v>
      </c>
      <c r="P29" s="2" t="s">
        <v>106</v>
      </c>
      <c r="Q29" s="35">
        <f>SUM(Q27:Q28)</f>
        <v>324</v>
      </c>
      <c r="S29" s="38">
        <v>325</v>
      </c>
      <c r="T29" s="26" t="s">
        <v>175</v>
      </c>
      <c r="W29" s="2" t="s">
        <v>106</v>
      </c>
      <c r="X29" s="35">
        <f>SUM(X27:X28)</f>
        <v>562</v>
      </c>
      <c r="Z29" s="35">
        <v>562</v>
      </c>
      <c r="AA29" s="26" t="s">
        <v>175</v>
      </c>
      <c r="AD29" s="2" t="s">
        <v>106</v>
      </c>
      <c r="AE29" s="35">
        <f>SUM(AE27:AE28)</f>
        <v>602</v>
      </c>
      <c r="AG29" s="38">
        <v>602</v>
      </c>
      <c r="AH29" s="26" t="s">
        <v>175</v>
      </c>
    </row>
    <row r="30" spans="2:35" ht="7.95" customHeight="1" thickBot="1" x14ac:dyDescent="0.35">
      <c r="B30" s="2"/>
      <c r="I30" s="2"/>
      <c r="P30" s="2"/>
      <c r="W30" s="2"/>
      <c r="AD30" s="2"/>
    </row>
    <row r="31" spans="2:35" ht="7.95" customHeight="1" thickTop="1" x14ac:dyDescent="0.3">
      <c r="B31" s="32"/>
      <c r="C31" s="32"/>
      <c r="D31" s="32"/>
      <c r="E31" s="32"/>
      <c r="F31" s="32"/>
      <c r="G31" s="32"/>
      <c r="I31" s="32"/>
      <c r="J31" s="32"/>
      <c r="K31" s="32"/>
      <c r="L31" s="32"/>
      <c r="M31" s="32"/>
      <c r="N31" s="32"/>
      <c r="P31" s="32"/>
      <c r="Q31" s="32"/>
      <c r="R31" s="32"/>
      <c r="S31" s="32"/>
      <c r="T31" s="32"/>
      <c r="U31" s="32"/>
      <c r="W31" s="32"/>
      <c r="X31" s="32"/>
      <c r="Y31" s="32"/>
      <c r="Z31" s="32"/>
      <c r="AA31" s="32"/>
      <c r="AB31" s="32"/>
      <c r="AD31" s="32"/>
      <c r="AE31" s="32"/>
      <c r="AF31" s="32"/>
      <c r="AG31" s="32"/>
      <c r="AH31" s="32"/>
      <c r="AI31" s="32"/>
    </row>
    <row r="32" spans="2:35" x14ac:dyDescent="0.3">
      <c r="B32" t="s">
        <v>177</v>
      </c>
      <c r="C32" s="35">
        <v>105</v>
      </c>
      <c r="E32" s="38" t="s">
        <v>182</v>
      </c>
      <c r="F32" s="26" t="s">
        <v>175</v>
      </c>
      <c r="I32" t="s">
        <v>177</v>
      </c>
      <c r="J32" s="35">
        <v>-133</v>
      </c>
      <c r="L32" s="35" t="s">
        <v>182</v>
      </c>
      <c r="M32" s="26" t="s">
        <v>175</v>
      </c>
      <c r="P32" t="s">
        <v>177</v>
      </c>
      <c r="Q32" s="35">
        <v>59</v>
      </c>
      <c r="S32" s="38" t="s">
        <v>182</v>
      </c>
      <c r="T32" s="26" t="s">
        <v>175</v>
      </c>
      <c r="W32" t="s">
        <v>177</v>
      </c>
      <c r="X32" s="35">
        <v>106</v>
      </c>
      <c r="Z32" s="38" t="s">
        <v>182</v>
      </c>
      <c r="AA32" s="26" t="s">
        <v>175</v>
      </c>
      <c r="AD32" t="s">
        <v>177</v>
      </c>
      <c r="AE32" s="35">
        <v>127</v>
      </c>
      <c r="AG32" s="38" t="s">
        <v>182</v>
      </c>
      <c r="AH32" s="26" t="s">
        <v>175</v>
      </c>
    </row>
    <row r="33" spans="2:34" x14ac:dyDescent="0.3">
      <c r="B33" s="2" t="s">
        <v>178</v>
      </c>
      <c r="C33" s="36">
        <v>115</v>
      </c>
      <c r="E33" s="119" t="s">
        <v>182</v>
      </c>
      <c r="F33" s="26" t="s">
        <v>179</v>
      </c>
      <c r="I33" s="2" t="s">
        <v>178</v>
      </c>
      <c r="J33" s="33" t="s">
        <v>182</v>
      </c>
      <c r="L33" s="33" t="s">
        <v>182</v>
      </c>
      <c r="M33" s="26" t="s">
        <v>179</v>
      </c>
      <c r="P33" s="2" t="s">
        <v>178</v>
      </c>
      <c r="Q33" s="36">
        <v>205</v>
      </c>
      <c r="S33" s="119" t="s">
        <v>182</v>
      </c>
      <c r="T33" s="26" t="s">
        <v>179</v>
      </c>
      <c r="W33" s="2" t="s">
        <v>178</v>
      </c>
      <c r="X33" s="36">
        <v>135</v>
      </c>
      <c r="Z33" s="119" t="s">
        <v>182</v>
      </c>
      <c r="AA33" s="26" t="s">
        <v>179</v>
      </c>
      <c r="AD33" s="2" t="s">
        <v>178</v>
      </c>
      <c r="AE33" s="36">
        <v>113</v>
      </c>
      <c r="AG33" s="119" t="s">
        <v>182</v>
      </c>
      <c r="AH33" s="26" t="s">
        <v>179</v>
      </c>
    </row>
  </sheetData>
  <mergeCells count="1">
    <mergeCell ref="B2:A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EB37-C517-4302-A696-EE3B5F411452}">
  <sheetPr>
    <tabColor theme="1"/>
  </sheetPr>
  <dimension ref="B1:AI35"/>
  <sheetViews>
    <sheetView showGridLines="0" zoomScale="80" zoomScaleNormal="80" workbookViewId="0">
      <selection activeCell="B2" sqref="B2:AI2"/>
    </sheetView>
  </sheetViews>
  <sheetFormatPr baseColWidth="10" defaultColWidth="11.44140625" defaultRowHeight="14.4" x14ac:dyDescent="0.3"/>
  <cols>
    <col min="1" max="1" width="1.44140625" customWidth="1"/>
    <col min="2" max="2" width="15.6640625" customWidth="1"/>
    <col min="3" max="3" width="8.33203125" customWidth="1"/>
    <col min="4" max="4" width="2.6640625" customWidth="1"/>
    <col min="5" max="7" width="8.33203125" customWidth="1"/>
    <col min="8" max="8" width="2.109375" customWidth="1"/>
    <col min="9" max="9" width="15.6640625" customWidth="1"/>
    <col min="10" max="10" width="8.33203125" customWidth="1"/>
    <col min="11" max="11" width="2.6640625" customWidth="1"/>
    <col min="12" max="14" width="8.33203125" customWidth="1"/>
    <col min="15" max="15" width="2.109375" customWidth="1"/>
    <col min="16" max="16" width="15.6640625" customWidth="1"/>
    <col min="17" max="17" width="8.33203125" customWidth="1"/>
    <col min="18" max="18" width="2.6640625" customWidth="1"/>
    <col min="19" max="21" width="8.33203125" customWidth="1"/>
    <col min="22" max="22" width="2.109375" customWidth="1"/>
    <col min="23" max="23" width="15.6640625" customWidth="1"/>
    <col min="24" max="24" width="8.33203125" customWidth="1"/>
    <col min="25" max="25" width="2.6640625" customWidth="1"/>
    <col min="26" max="28" width="8.33203125" customWidth="1"/>
    <col min="29" max="29" width="2.109375" customWidth="1"/>
    <col min="30" max="30" width="15.6640625" customWidth="1"/>
    <col min="31" max="31" width="8.33203125" customWidth="1"/>
    <col min="32" max="32" width="2.6640625" customWidth="1"/>
    <col min="33" max="35" width="8.33203125" customWidth="1"/>
  </cols>
  <sheetData>
    <row r="1" spans="2:35" ht="6" customHeight="1" x14ac:dyDescent="0.3"/>
    <row r="2" spans="2:35" ht="28.2" customHeight="1" x14ac:dyDescent="0.3">
      <c r="B2" s="185" t="s">
        <v>118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</row>
    <row r="3" spans="2:35" ht="6" customHeight="1" x14ac:dyDescent="0.3"/>
    <row r="4" spans="2:35" ht="18" x14ac:dyDescent="0.35">
      <c r="B4" s="108" t="s">
        <v>70</v>
      </c>
      <c r="C4" s="108" t="s">
        <v>183</v>
      </c>
      <c r="D4" s="105"/>
      <c r="E4" s="105"/>
      <c r="F4" s="105"/>
      <c r="G4" s="105"/>
      <c r="I4" s="109" t="s">
        <v>62</v>
      </c>
      <c r="J4" s="109" t="s">
        <v>184</v>
      </c>
      <c r="K4" s="105"/>
      <c r="L4" s="105"/>
      <c r="M4" s="105"/>
      <c r="N4" s="105"/>
      <c r="P4" s="110" t="s">
        <v>60</v>
      </c>
      <c r="Q4" s="110" t="s">
        <v>61</v>
      </c>
      <c r="R4" s="105"/>
      <c r="S4" s="105"/>
      <c r="T4" s="105"/>
      <c r="U4" s="105"/>
      <c r="W4" s="117" t="s">
        <v>56</v>
      </c>
      <c r="X4" s="117" t="s">
        <v>57</v>
      </c>
      <c r="Y4" s="118"/>
      <c r="Z4" s="105"/>
      <c r="AA4" s="105"/>
      <c r="AB4" s="105"/>
      <c r="AD4" s="113" t="s">
        <v>64</v>
      </c>
      <c r="AE4" s="113" t="s">
        <v>65</v>
      </c>
      <c r="AF4" s="105"/>
      <c r="AG4" s="105"/>
      <c r="AH4" s="105"/>
      <c r="AI4" s="105"/>
    </row>
    <row r="5" spans="2:35" ht="7.95" customHeight="1" x14ac:dyDescent="0.3"/>
    <row r="6" spans="2:35" x14ac:dyDescent="0.3">
      <c r="B6" s="2" t="s">
        <v>112</v>
      </c>
      <c r="C6" s="106">
        <v>95</v>
      </c>
      <c r="E6" s="2" t="s">
        <v>145</v>
      </c>
      <c r="F6" s="2"/>
      <c r="G6" s="106">
        <v>2</v>
      </c>
      <c r="I6" s="2" t="s">
        <v>112</v>
      </c>
      <c r="J6" s="106">
        <v>82</v>
      </c>
      <c r="L6" s="2" t="s">
        <v>145</v>
      </c>
      <c r="M6" s="2"/>
      <c r="N6" s="106">
        <v>3</v>
      </c>
      <c r="P6" s="2" t="s">
        <v>112</v>
      </c>
      <c r="Q6" s="106">
        <v>124</v>
      </c>
      <c r="S6" s="2" t="s">
        <v>145</v>
      </c>
      <c r="T6" s="2"/>
      <c r="U6" s="106">
        <v>3</v>
      </c>
      <c r="W6" s="2" t="s">
        <v>112</v>
      </c>
      <c r="X6" s="106">
        <v>120</v>
      </c>
      <c r="Z6" s="2" t="s">
        <v>145</v>
      </c>
      <c r="AA6" s="2"/>
      <c r="AB6" s="106">
        <v>3</v>
      </c>
      <c r="AD6" s="2" t="s">
        <v>112</v>
      </c>
      <c r="AE6" s="106">
        <v>142</v>
      </c>
      <c r="AG6" s="2" t="s">
        <v>145</v>
      </c>
      <c r="AH6" s="2"/>
      <c r="AI6" s="106">
        <v>4</v>
      </c>
    </row>
    <row r="7" spans="2:35" x14ac:dyDescent="0.3">
      <c r="B7" s="2" t="s">
        <v>146</v>
      </c>
      <c r="C7" s="111">
        <v>1.5</v>
      </c>
      <c r="E7" s="7" t="s">
        <v>147</v>
      </c>
      <c r="F7" s="7"/>
      <c r="G7" s="107">
        <v>0.9</v>
      </c>
      <c r="I7" s="2" t="s">
        <v>146</v>
      </c>
      <c r="J7" s="111">
        <v>1.5</v>
      </c>
      <c r="L7" s="7" t="s">
        <v>147</v>
      </c>
      <c r="M7" s="7"/>
      <c r="N7" s="107">
        <v>0.7</v>
      </c>
      <c r="P7" s="2" t="s">
        <v>146</v>
      </c>
      <c r="Q7" s="111">
        <v>1.5</v>
      </c>
      <c r="S7" s="7" t="s">
        <v>147</v>
      </c>
      <c r="T7" s="7"/>
      <c r="U7" s="107">
        <v>0.8</v>
      </c>
      <c r="W7" s="2" t="s">
        <v>146</v>
      </c>
      <c r="X7" s="111">
        <v>1.5</v>
      </c>
      <c r="Z7" s="7" t="s">
        <v>147</v>
      </c>
      <c r="AA7" s="7"/>
      <c r="AB7" s="107">
        <v>0.7</v>
      </c>
      <c r="AD7" s="2" t="s">
        <v>146</v>
      </c>
      <c r="AE7" s="111">
        <v>1.5</v>
      </c>
      <c r="AG7" s="7" t="s">
        <v>147</v>
      </c>
      <c r="AH7" s="7"/>
      <c r="AI7" s="107">
        <v>0.7</v>
      </c>
    </row>
    <row r="8" spans="2:35" x14ac:dyDescent="0.3">
      <c r="B8" s="2" t="s">
        <v>148</v>
      </c>
      <c r="C8" s="112">
        <v>0.7</v>
      </c>
      <c r="E8" s="7" t="s">
        <v>149</v>
      </c>
      <c r="F8" s="7"/>
      <c r="G8" s="107">
        <v>0.1</v>
      </c>
      <c r="I8" s="2" t="s">
        <v>148</v>
      </c>
      <c r="J8" s="112">
        <v>0.7</v>
      </c>
      <c r="L8" s="7" t="s">
        <v>149</v>
      </c>
      <c r="M8" s="7"/>
      <c r="N8" s="107">
        <v>0.3</v>
      </c>
      <c r="P8" s="2" t="s">
        <v>148</v>
      </c>
      <c r="Q8" s="112">
        <v>0.7</v>
      </c>
      <c r="S8" s="7" t="s">
        <v>149</v>
      </c>
      <c r="T8" s="7"/>
      <c r="U8" s="107">
        <v>0.2</v>
      </c>
      <c r="W8" s="2" t="s">
        <v>148</v>
      </c>
      <c r="X8" s="112">
        <v>0.7</v>
      </c>
      <c r="Z8" s="7" t="s">
        <v>149</v>
      </c>
      <c r="AA8" s="7"/>
      <c r="AB8" s="107">
        <v>0.3</v>
      </c>
      <c r="AD8" s="2" t="s">
        <v>148</v>
      </c>
      <c r="AE8" s="112">
        <v>0.7</v>
      </c>
      <c r="AG8" s="7" t="s">
        <v>149</v>
      </c>
      <c r="AH8" s="7"/>
      <c r="AI8" s="107">
        <v>0.3</v>
      </c>
    </row>
    <row r="9" spans="2:35" ht="7.95" customHeight="1" thickBot="1" x14ac:dyDescent="0.35"/>
    <row r="10" spans="2:35" ht="7.95" customHeight="1" thickTop="1" x14ac:dyDescent="0.3">
      <c r="B10" s="32"/>
      <c r="C10" s="32"/>
      <c r="D10" s="32"/>
      <c r="E10" s="32"/>
      <c r="F10" s="32"/>
      <c r="G10" s="32"/>
      <c r="I10" s="32"/>
      <c r="J10" s="32"/>
      <c r="K10" s="32"/>
      <c r="L10" s="32"/>
      <c r="M10" s="32"/>
      <c r="N10" s="32"/>
      <c r="P10" s="32"/>
      <c r="Q10" s="32"/>
      <c r="R10" s="32"/>
      <c r="S10" s="32"/>
      <c r="T10" s="32"/>
      <c r="U10" s="32"/>
      <c r="W10" s="32"/>
      <c r="X10" s="32"/>
      <c r="Y10" s="32"/>
      <c r="Z10" s="32"/>
      <c r="AA10" s="32"/>
      <c r="AB10" s="32"/>
      <c r="AD10" s="32"/>
      <c r="AE10" s="32"/>
      <c r="AF10" s="32"/>
      <c r="AG10" s="32"/>
      <c r="AH10" s="32"/>
      <c r="AI10" s="32"/>
    </row>
    <row r="11" spans="2:35" x14ac:dyDescent="0.3">
      <c r="B11" s="2" t="s">
        <v>150</v>
      </c>
      <c r="C11" s="31" t="s">
        <v>151</v>
      </c>
      <c r="E11" s="2" t="s">
        <v>152</v>
      </c>
      <c r="F11" s="2"/>
      <c r="G11" s="31" t="s">
        <v>151</v>
      </c>
      <c r="I11" s="2" t="s">
        <v>150</v>
      </c>
      <c r="J11" s="31" t="s">
        <v>151</v>
      </c>
      <c r="L11" s="2" t="s">
        <v>152</v>
      </c>
      <c r="M11" s="2"/>
      <c r="N11" s="31" t="s">
        <v>151</v>
      </c>
      <c r="P11" s="2" t="s">
        <v>150</v>
      </c>
      <c r="Q11" s="31" t="s">
        <v>151</v>
      </c>
      <c r="S11" s="2" t="s">
        <v>152</v>
      </c>
      <c r="T11" s="2"/>
      <c r="U11" s="31" t="s">
        <v>151</v>
      </c>
      <c r="W11" s="2" t="s">
        <v>150</v>
      </c>
      <c r="X11" s="31" t="s">
        <v>151</v>
      </c>
      <c r="Z11" s="2" t="s">
        <v>152</v>
      </c>
      <c r="AA11" s="2"/>
      <c r="AB11" s="31" t="s">
        <v>151</v>
      </c>
      <c r="AD11" s="2" t="s">
        <v>150</v>
      </c>
      <c r="AE11" s="31" t="s">
        <v>151</v>
      </c>
      <c r="AG11" s="2" t="s">
        <v>152</v>
      </c>
      <c r="AH11" s="2"/>
      <c r="AI11" s="31" t="s">
        <v>151</v>
      </c>
    </row>
    <row r="12" spans="2:35" x14ac:dyDescent="0.3">
      <c r="B12" s="2" t="s">
        <v>153</v>
      </c>
      <c r="C12" s="31" t="s">
        <v>151</v>
      </c>
      <c r="E12" s="2" t="s">
        <v>154</v>
      </c>
      <c r="F12" s="2"/>
      <c r="G12" s="39"/>
      <c r="I12" s="2" t="s">
        <v>153</v>
      </c>
      <c r="J12" s="31" t="s">
        <v>151</v>
      </c>
      <c r="L12" s="2" t="s">
        <v>154</v>
      </c>
      <c r="M12" s="2"/>
      <c r="N12" s="31" t="s">
        <v>151</v>
      </c>
      <c r="P12" s="2" t="s">
        <v>153</v>
      </c>
      <c r="Q12" s="31" t="s">
        <v>151</v>
      </c>
      <c r="S12" s="2" t="s">
        <v>154</v>
      </c>
      <c r="T12" s="2"/>
      <c r="U12" s="31" t="s">
        <v>151</v>
      </c>
      <c r="W12" s="2" t="s">
        <v>153</v>
      </c>
      <c r="X12" s="31" t="s">
        <v>151</v>
      </c>
      <c r="Z12" s="2" t="s">
        <v>154</v>
      </c>
      <c r="AA12" s="2"/>
      <c r="AB12" s="31" t="s">
        <v>151</v>
      </c>
      <c r="AD12" s="2" t="s">
        <v>153</v>
      </c>
      <c r="AE12" s="31" t="s">
        <v>151</v>
      </c>
      <c r="AG12" s="2" t="s">
        <v>154</v>
      </c>
      <c r="AH12" s="2"/>
      <c r="AI12" s="31" t="s">
        <v>151</v>
      </c>
    </row>
    <row r="13" spans="2:35" x14ac:dyDescent="0.3">
      <c r="B13" s="2" t="s">
        <v>155</v>
      </c>
      <c r="C13" s="31" t="s">
        <v>151</v>
      </c>
      <c r="E13" s="2" t="s">
        <v>156</v>
      </c>
      <c r="F13" s="2"/>
      <c r="G13" s="39"/>
      <c r="I13" s="2" t="s">
        <v>155</v>
      </c>
      <c r="J13" s="31" t="s">
        <v>151</v>
      </c>
      <c r="L13" s="2" t="s">
        <v>156</v>
      </c>
      <c r="M13" s="2"/>
      <c r="N13" s="39"/>
      <c r="P13" s="2" t="s">
        <v>155</v>
      </c>
      <c r="Q13" s="31" t="s">
        <v>151</v>
      </c>
      <c r="S13" s="2" t="s">
        <v>156</v>
      </c>
      <c r="T13" s="2"/>
      <c r="U13" s="39"/>
      <c r="W13" s="2" t="s">
        <v>155</v>
      </c>
      <c r="X13" s="31" t="s">
        <v>151</v>
      </c>
      <c r="Z13" s="2" t="s">
        <v>156</v>
      </c>
      <c r="AA13" s="2"/>
      <c r="AB13" s="31" t="s">
        <v>151</v>
      </c>
      <c r="AD13" s="2" t="s">
        <v>155</v>
      </c>
      <c r="AE13" s="31" t="s">
        <v>151</v>
      </c>
      <c r="AG13" s="2" t="s">
        <v>156</v>
      </c>
      <c r="AH13" s="2"/>
      <c r="AI13" s="31" t="s">
        <v>151</v>
      </c>
    </row>
    <row r="14" spans="2:35" x14ac:dyDescent="0.3">
      <c r="B14" s="2" t="s">
        <v>157</v>
      </c>
      <c r="C14" s="31" t="s">
        <v>151</v>
      </c>
      <c r="E14" s="2" t="s">
        <v>158</v>
      </c>
      <c r="F14" s="2"/>
      <c r="G14" s="39"/>
      <c r="I14" s="2" t="s">
        <v>157</v>
      </c>
      <c r="J14" s="31" t="s">
        <v>151</v>
      </c>
      <c r="L14" s="2" t="s">
        <v>158</v>
      </c>
      <c r="M14" s="2"/>
      <c r="N14" s="39"/>
      <c r="P14" s="2" t="s">
        <v>157</v>
      </c>
      <c r="Q14" s="31" t="s">
        <v>151</v>
      </c>
      <c r="S14" s="2" t="s">
        <v>158</v>
      </c>
      <c r="T14" s="2"/>
      <c r="U14" s="39"/>
      <c r="W14" s="2" t="s">
        <v>157</v>
      </c>
      <c r="X14" s="31" t="s">
        <v>151</v>
      </c>
      <c r="Z14" s="2" t="s">
        <v>158</v>
      </c>
      <c r="AA14" s="2"/>
      <c r="AB14" s="31" t="s">
        <v>151</v>
      </c>
      <c r="AD14" s="2" t="s">
        <v>157</v>
      </c>
      <c r="AE14" s="31" t="s">
        <v>151</v>
      </c>
      <c r="AG14" s="2" t="s">
        <v>158</v>
      </c>
      <c r="AH14" s="2"/>
      <c r="AI14" s="39"/>
    </row>
    <row r="15" spans="2:35" x14ac:dyDescent="0.3">
      <c r="B15" s="2" t="s">
        <v>159</v>
      </c>
      <c r="C15" s="31" t="s">
        <v>151</v>
      </c>
      <c r="E15" s="2" t="s">
        <v>160</v>
      </c>
      <c r="F15" s="2"/>
      <c r="G15" s="39"/>
      <c r="I15" s="2" t="s">
        <v>159</v>
      </c>
      <c r="J15" s="31" t="s">
        <v>151</v>
      </c>
      <c r="L15" s="2" t="s">
        <v>160</v>
      </c>
      <c r="M15" s="2"/>
      <c r="N15" s="39"/>
      <c r="P15" s="2" t="s">
        <v>159</v>
      </c>
      <c r="Q15" s="31" t="s">
        <v>151</v>
      </c>
      <c r="S15" s="2" t="s">
        <v>160</v>
      </c>
      <c r="T15" s="2"/>
      <c r="U15" s="39"/>
      <c r="W15" s="2" t="s">
        <v>159</v>
      </c>
      <c r="X15" s="31" t="s">
        <v>151</v>
      </c>
      <c r="Z15" s="2" t="s">
        <v>160</v>
      </c>
      <c r="AA15" s="2"/>
      <c r="AB15" s="39"/>
      <c r="AD15" s="2" t="s">
        <v>159</v>
      </c>
      <c r="AE15" s="31" t="s">
        <v>151</v>
      </c>
      <c r="AG15" s="2" t="s">
        <v>160</v>
      </c>
      <c r="AH15" s="2"/>
      <c r="AI15" s="39"/>
    </row>
    <row r="16" spans="2:35" x14ac:dyDescent="0.3">
      <c r="B16" s="2" t="s">
        <v>161</v>
      </c>
      <c r="C16" s="31" t="s">
        <v>151</v>
      </c>
      <c r="E16" s="2" t="s">
        <v>162</v>
      </c>
      <c r="F16" s="2"/>
      <c r="G16" s="39"/>
      <c r="I16" s="2" t="s">
        <v>161</v>
      </c>
      <c r="J16" s="31" t="s">
        <v>151</v>
      </c>
      <c r="L16" s="2" t="s">
        <v>162</v>
      </c>
      <c r="M16" s="2"/>
      <c r="N16" s="31" t="s">
        <v>151</v>
      </c>
      <c r="P16" s="2" t="s">
        <v>161</v>
      </c>
      <c r="Q16" s="31" t="s">
        <v>151</v>
      </c>
      <c r="S16" s="2" t="s">
        <v>162</v>
      </c>
      <c r="T16" s="2"/>
      <c r="U16" s="39"/>
      <c r="W16" s="2" t="s">
        <v>161</v>
      </c>
      <c r="X16" s="31" t="s">
        <v>151</v>
      </c>
      <c r="Z16" s="2" t="s">
        <v>162</v>
      </c>
      <c r="AA16" s="2"/>
      <c r="AB16" s="39"/>
      <c r="AD16" s="2" t="s">
        <v>161</v>
      </c>
      <c r="AE16" s="31" t="s">
        <v>151</v>
      </c>
      <c r="AG16" s="2" t="s">
        <v>162</v>
      </c>
      <c r="AH16" s="2"/>
      <c r="AI16" s="39"/>
    </row>
    <row r="17" spans="2:35" x14ac:dyDescent="0.3">
      <c r="B17" s="2" t="s">
        <v>163</v>
      </c>
      <c r="C17" s="39"/>
      <c r="E17" s="2" t="s">
        <v>164</v>
      </c>
      <c r="F17" s="2"/>
      <c r="G17" s="39"/>
      <c r="I17" s="2" t="s">
        <v>163</v>
      </c>
      <c r="J17" s="39"/>
      <c r="L17" s="2" t="s">
        <v>164</v>
      </c>
      <c r="M17" s="2"/>
      <c r="N17" s="31" t="s">
        <v>151</v>
      </c>
      <c r="P17" s="2" t="s">
        <v>163</v>
      </c>
      <c r="Q17" s="39"/>
      <c r="S17" s="2" t="s">
        <v>164</v>
      </c>
      <c r="T17" s="2"/>
      <c r="U17" s="39"/>
      <c r="W17" s="2" t="s">
        <v>163</v>
      </c>
      <c r="X17" s="31" t="s">
        <v>151</v>
      </c>
      <c r="Z17" s="2" t="s">
        <v>164</v>
      </c>
      <c r="AA17" s="2"/>
      <c r="AB17" s="39"/>
      <c r="AD17" s="2" t="s">
        <v>163</v>
      </c>
      <c r="AE17" s="31" t="s">
        <v>151</v>
      </c>
      <c r="AG17" s="2" t="s">
        <v>164</v>
      </c>
      <c r="AH17" s="2"/>
      <c r="AI17" s="31" t="s">
        <v>151</v>
      </c>
    </row>
    <row r="18" spans="2:35" ht="7.95" customHeight="1" thickBot="1" x14ac:dyDescent="0.35"/>
    <row r="19" spans="2:35" ht="7.95" customHeight="1" thickTop="1" x14ac:dyDescent="0.3">
      <c r="B19" s="32"/>
      <c r="C19" s="32"/>
      <c r="D19" s="32"/>
      <c r="E19" s="32"/>
      <c r="F19" s="32"/>
      <c r="G19" s="32"/>
      <c r="I19" s="32"/>
      <c r="J19" s="32"/>
      <c r="K19" s="32"/>
      <c r="L19" s="32"/>
      <c r="M19" s="32"/>
      <c r="N19" s="32"/>
      <c r="P19" s="32"/>
      <c r="Q19" s="32"/>
      <c r="R19" s="32"/>
      <c r="S19" s="32"/>
      <c r="T19" s="32"/>
      <c r="U19" s="32"/>
      <c r="W19" s="32"/>
      <c r="X19" s="32"/>
      <c r="Y19" s="32"/>
      <c r="Z19" s="32"/>
      <c r="AA19" s="32"/>
      <c r="AB19" s="32"/>
      <c r="AD19" s="32"/>
      <c r="AE19" s="32"/>
      <c r="AF19" s="32"/>
      <c r="AG19" s="32"/>
      <c r="AH19" s="32"/>
      <c r="AI19" s="32"/>
    </row>
    <row r="20" spans="2:35" x14ac:dyDescent="0.3">
      <c r="B20" t="s">
        <v>185</v>
      </c>
      <c r="C20" s="31">
        <v>1</v>
      </c>
      <c r="I20" t="s">
        <v>181</v>
      </c>
      <c r="J20" s="31">
        <v>1</v>
      </c>
      <c r="P20" t="s">
        <v>181</v>
      </c>
      <c r="Q20" s="31">
        <v>1</v>
      </c>
      <c r="W20" t="s">
        <v>181</v>
      </c>
      <c r="X20" s="31">
        <v>1</v>
      </c>
      <c r="AD20" t="s">
        <v>181</v>
      </c>
      <c r="AE20" s="31">
        <v>1</v>
      </c>
    </row>
    <row r="21" spans="2:35" x14ac:dyDescent="0.3">
      <c r="C21" s="31"/>
      <c r="I21" t="s">
        <v>166</v>
      </c>
      <c r="J21" s="31">
        <v>1</v>
      </c>
      <c r="P21" t="s">
        <v>166</v>
      </c>
      <c r="Q21" s="31">
        <v>1</v>
      </c>
      <c r="W21" t="s">
        <v>166</v>
      </c>
      <c r="X21" s="31">
        <v>1</v>
      </c>
      <c r="AD21" t="s">
        <v>166</v>
      </c>
      <c r="AE21" s="31">
        <v>1</v>
      </c>
    </row>
    <row r="22" spans="2:35" x14ac:dyDescent="0.3">
      <c r="B22" t="s">
        <v>167</v>
      </c>
      <c r="C22" s="31" t="s">
        <v>168</v>
      </c>
      <c r="E22" s="50" t="s">
        <v>169</v>
      </c>
      <c r="I22" t="s">
        <v>167</v>
      </c>
      <c r="J22" s="31" t="s">
        <v>168</v>
      </c>
      <c r="L22" s="50" t="s">
        <v>169</v>
      </c>
      <c r="P22" t="s">
        <v>167</v>
      </c>
      <c r="Q22" s="31" t="s">
        <v>168</v>
      </c>
      <c r="S22" s="50" t="s">
        <v>169</v>
      </c>
      <c r="W22" t="s">
        <v>167</v>
      </c>
      <c r="X22" s="31" t="s">
        <v>170</v>
      </c>
      <c r="Z22" s="50" t="s">
        <v>171</v>
      </c>
      <c r="AD22" t="s">
        <v>167</v>
      </c>
      <c r="AE22" s="31" t="s">
        <v>170</v>
      </c>
      <c r="AG22" s="50" t="s">
        <v>171</v>
      </c>
    </row>
    <row r="23" spans="2:35" ht="7.95" customHeight="1" thickBot="1" x14ac:dyDescent="0.35"/>
    <row r="24" spans="2:35" ht="7.95" customHeight="1" thickTop="1" x14ac:dyDescent="0.3">
      <c r="B24" s="32"/>
      <c r="C24" s="32"/>
      <c r="D24" s="32"/>
      <c r="E24" s="32"/>
      <c r="F24" s="32"/>
      <c r="G24" s="32"/>
      <c r="I24" s="32"/>
      <c r="J24" s="32"/>
      <c r="K24" s="32"/>
      <c r="L24" s="32"/>
      <c r="M24" s="32"/>
      <c r="N24" s="32"/>
      <c r="P24" s="32"/>
      <c r="Q24" s="32"/>
      <c r="R24" s="32"/>
      <c r="S24" s="32"/>
      <c r="T24" s="32"/>
      <c r="U24" s="32"/>
      <c r="W24" s="32"/>
      <c r="X24" s="32"/>
      <c r="Y24" s="32"/>
      <c r="Z24" s="32"/>
      <c r="AA24" s="32"/>
      <c r="AB24" s="32"/>
      <c r="AD24" s="32"/>
      <c r="AE24" s="32"/>
      <c r="AF24" s="32"/>
      <c r="AG24" s="32"/>
      <c r="AH24" s="32"/>
      <c r="AI24" s="32"/>
    </row>
    <row r="25" spans="2:35" x14ac:dyDescent="0.3">
      <c r="B25" s="24" t="s">
        <v>172</v>
      </c>
      <c r="C25" s="37" t="s">
        <v>173</v>
      </c>
      <c r="E25" s="37" t="s">
        <v>174</v>
      </c>
      <c r="I25" s="24" t="s">
        <v>172</v>
      </c>
      <c r="J25" s="37" t="s">
        <v>173</v>
      </c>
      <c r="L25" s="37" t="s">
        <v>174</v>
      </c>
      <c r="P25" s="24" t="s">
        <v>172</v>
      </c>
      <c r="Q25" s="37" t="s">
        <v>173</v>
      </c>
      <c r="S25" s="37" t="s">
        <v>174</v>
      </c>
      <c r="W25" s="24" t="s">
        <v>172</v>
      </c>
      <c r="X25" s="37" t="s">
        <v>173</v>
      </c>
      <c r="Z25" s="37" t="s">
        <v>174</v>
      </c>
      <c r="AD25" s="24" t="s">
        <v>172</v>
      </c>
      <c r="AE25" s="37" t="s">
        <v>173</v>
      </c>
      <c r="AG25" s="37" t="s">
        <v>174</v>
      </c>
    </row>
    <row r="26" spans="2:35" ht="3.6" customHeight="1" x14ac:dyDescent="0.3">
      <c r="C26" s="37"/>
      <c r="J26" s="37"/>
      <c r="Q26" s="37"/>
      <c r="X26" s="37"/>
      <c r="AE26" s="37"/>
    </row>
    <row r="27" spans="2:35" x14ac:dyDescent="0.3">
      <c r="B27" s="2" t="s">
        <v>147</v>
      </c>
      <c r="C27" s="115"/>
      <c r="E27" s="115"/>
      <c r="F27" s="26" t="s">
        <v>175</v>
      </c>
      <c r="I27" s="2" t="s">
        <v>147</v>
      </c>
      <c r="J27" s="115"/>
      <c r="L27" s="115"/>
      <c r="M27" s="26" t="s">
        <v>175</v>
      </c>
      <c r="P27" s="2" t="s">
        <v>147</v>
      </c>
      <c r="Q27" s="115"/>
      <c r="S27" s="115"/>
      <c r="T27" s="26" t="s">
        <v>175</v>
      </c>
      <c r="W27" s="2" t="s">
        <v>147</v>
      </c>
      <c r="X27" s="115"/>
      <c r="Z27" s="115"/>
      <c r="AA27" s="26" t="s">
        <v>175</v>
      </c>
      <c r="AD27" s="2" t="s">
        <v>147</v>
      </c>
      <c r="AE27" s="115"/>
      <c r="AG27" s="115"/>
      <c r="AH27" s="26" t="s">
        <v>175</v>
      </c>
    </row>
    <row r="28" spans="2:35" x14ac:dyDescent="0.3">
      <c r="B28" s="2" t="s">
        <v>176</v>
      </c>
      <c r="C28" s="115"/>
      <c r="E28" s="115"/>
      <c r="F28" s="26" t="s">
        <v>175</v>
      </c>
      <c r="I28" s="2" t="s">
        <v>176</v>
      </c>
      <c r="J28" s="115"/>
      <c r="L28" s="115"/>
      <c r="M28" s="26" t="s">
        <v>175</v>
      </c>
      <c r="P28" s="2" t="s">
        <v>176</v>
      </c>
      <c r="Q28" s="115"/>
      <c r="S28" s="115"/>
      <c r="T28" s="26" t="s">
        <v>175</v>
      </c>
      <c r="W28" s="2" t="s">
        <v>176</v>
      </c>
      <c r="X28" s="115"/>
      <c r="Z28" s="115"/>
      <c r="AA28" s="26" t="s">
        <v>175</v>
      </c>
      <c r="AD28" s="2" t="s">
        <v>176</v>
      </c>
      <c r="AE28" s="115"/>
      <c r="AG28" s="115"/>
      <c r="AH28" s="26" t="s">
        <v>175</v>
      </c>
    </row>
    <row r="29" spans="2:35" x14ac:dyDescent="0.3">
      <c r="B29" s="2" t="s">
        <v>106</v>
      </c>
      <c r="C29" s="35">
        <f>SUM(C27:C28)</f>
        <v>0</v>
      </c>
      <c r="E29" s="35"/>
      <c r="F29" s="26" t="s">
        <v>175</v>
      </c>
      <c r="I29" s="2" t="s">
        <v>106</v>
      </c>
      <c r="J29" s="35">
        <f>SUM(J27:J28)</f>
        <v>0</v>
      </c>
      <c r="L29" s="35"/>
      <c r="M29" s="26" t="s">
        <v>175</v>
      </c>
      <c r="P29" s="2" t="s">
        <v>106</v>
      </c>
      <c r="Q29" s="35">
        <f>SUM(Q27:Q28)</f>
        <v>0</v>
      </c>
      <c r="S29" s="38"/>
      <c r="T29" s="26" t="s">
        <v>175</v>
      </c>
      <c r="W29" s="2" t="s">
        <v>106</v>
      </c>
      <c r="X29" s="35">
        <f>SUM(X27:X28)</f>
        <v>0</v>
      </c>
      <c r="Z29" s="35"/>
      <c r="AA29" s="26" t="s">
        <v>175</v>
      </c>
      <c r="AD29" s="2" t="s">
        <v>106</v>
      </c>
      <c r="AE29" s="35">
        <f>SUM(AE27:AE28)</f>
        <v>0</v>
      </c>
      <c r="AG29" s="38"/>
      <c r="AH29" s="26" t="s">
        <v>175</v>
      </c>
    </row>
    <row r="30" spans="2:35" ht="7.95" customHeight="1" thickBot="1" x14ac:dyDescent="0.35">
      <c r="B30" s="2"/>
      <c r="I30" s="2"/>
      <c r="P30" s="2"/>
      <c r="W30" s="2"/>
      <c r="AD30" s="2"/>
    </row>
    <row r="31" spans="2:35" ht="7.95" customHeight="1" thickTop="1" x14ac:dyDescent="0.3">
      <c r="B31" s="32"/>
      <c r="C31" s="32"/>
      <c r="D31" s="32"/>
      <c r="E31" s="32"/>
      <c r="F31" s="32"/>
      <c r="G31" s="32"/>
      <c r="I31" s="32"/>
      <c r="J31" s="32"/>
      <c r="K31" s="32"/>
      <c r="L31" s="32"/>
      <c r="M31" s="32"/>
      <c r="N31" s="32"/>
      <c r="P31" s="32"/>
      <c r="Q31" s="32"/>
      <c r="R31" s="32"/>
      <c r="S31" s="32"/>
      <c r="T31" s="32"/>
      <c r="U31" s="32"/>
      <c r="W31" s="32"/>
      <c r="X31" s="32"/>
      <c r="Y31" s="32"/>
      <c r="Z31" s="32"/>
      <c r="AA31" s="32"/>
      <c r="AB31" s="32"/>
      <c r="AD31" s="32"/>
      <c r="AE31" s="32"/>
      <c r="AF31" s="32"/>
      <c r="AG31" s="32"/>
      <c r="AH31" s="32"/>
      <c r="AI31" s="32"/>
    </row>
    <row r="32" spans="2:35" x14ac:dyDescent="0.3">
      <c r="B32" t="s">
        <v>177</v>
      </c>
      <c r="C32" s="35"/>
      <c r="E32" s="38"/>
      <c r="F32" s="26" t="s">
        <v>175</v>
      </c>
      <c r="I32" t="s">
        <v>177</v>
      </c>
      <c r="J32" s="35"/>
      <c r="L32" s="35"/>
      <c r="M32" s="26" t="s">
        <v>175</v>
      </c>
      <c r="P32" t="s">
        <v>177</v>
      </c>
      <c r="Q32" s="35"/>
      <c r="S32" s="38"/>
      <c r="T32" s="26" t="s">
        <v>175</v>
      </c>
      <c r="W32" t="s">
        <v>177</v>
      </c>
      <c r="X32" s="35"/>
      <c r="Z32" s="38"/>
      <c r="AA32" s="26" t="s">
        <v>175</v>
      </c>
      <c r="AD32" t="s">
        <v>177</v>
      </c>
      <c r="AE32" s="35"/>
      <c r="AG32" s="38"/>
      <c r="AH32" s="26" t="s">
        <v>175</v>
      </c>
    </row>
    <row r="33" spans="2:34" x14ac:dyDescent="0.3">
      <c r="B33" s="2" t="s">
        <v>178</v>
      </c>
      <c r="C33" s="36"/>
      <c r="E33" s="119"/>
      <c r="F33" s="26" t="s">
        <v>179</v>
      </c>
      <c r="I33" s="2" t="s">
        <v>178</v>
      </c>
      <c r="J33" s="33"/>
      <c r="L33" s="33"/>
      <c r="M33" s="26" t="s">
        <v>179</v>
      </c>
      <c r="P33" s="2" t="s">
        <v>178</v>
      </c>
      <c r="Q33" s="36"/>
      <c r="S33" s="119"/>
      <c r="T33" s="26" t="s">
        <v>179</v>
      </c>
      <c r="W33" s="2" t="s">
        <v>178</v>
      </c>
      <c r="X33" s="36"/>
      <c r="Z33" s="119"/>
      <c r="AA33" s="26" t="s">
        <v>179</v>
      </c>
      <c r="AD33" s="2" t="s">
        <v>178</v>
      </c>
      <c r="AE33" s="36"/>
      <c r="AG33" s="119"/>
      <c r="AH33" s="26" t="s">
        <v>179</v>
      </c>
    </row>
    <row r="35" spans="2:34" ht="36.6" x14ac:dyDescent="0.7">
      <c r="B35" s="131" t="s">
        <v>201</v>
      </c>
    </row>
  </sheetData>
  <mergeCells count="1">
    <mergeCell ref="B2:A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AD65-C218-46A4-9C70-E28F5CDDC547}">
  <sheetPr>
    <tabColor rgb="FFFF0000"/>
  </sheetPr>
  <dimension ref="B2:B12"/>
  <sheetViews>
    <sheetView showGridLines="0" zoomScaleNormal="100" workbookViewId="0"/>
  </sheetViews>
  <sheetFormatPr baseColWidth="10" defaultColWidth="11.44140625" defaultRowHeight="14.4" x14ac:dyDescent="0.3"/>
  <cols>
    <col min="1" max="1" width="2.88671875" customWidth="1"/>
  </cols>
  <sheetData>
    <row r="2" spans="2:2" x14ac:dyDescent="0.3">
      <c r="B2" s="114" t="s">
        <v>202</v>
      </c>
    </row>
    <row r="3" spans="2:2" ht="7.95" customHeight="1" x14ac:dyDescent="0.3">
      <c r="B3" s="114"/>
    </row>
    <row r="4" spans="2:2" x14ac:dyDescent="0.3">
      <c r="B4" s="34" t="s">
        <v>186</v>
      </c>
    </row>
    <row r="5" spans="2:2" x14ac:dyDescent="0.3">
      <c r="B5" s="34" t="s">
        <v>187</v>
      </c>
    </row>
    <row r="6" spans="2:2" x14ac:dyDescent="0.3">
      <c r="B6" s="34" t="s">
        <v>188</v>
      </c>
    </row>
    <row r="7" spans="2:2" x14ac:dyDescent="0.3">
      <c r="B7" s="34" t="s">
        <v>189</v>
      </c>
    </row>
    <row r="8" spans="2:2" x14ac:dyDescent="0.3">
      <c r="B8" s="34" t="s">
        <v>190</v>
      </c>
    </row>
    <row r="9" spans="2:2" x14ac:dyDescent="0.3">
      <c r="B9" s="34" t="s">
        <v>191</v>
      </c>
    </row>
    <row r="10" spans="2:2" x14ac:dyDescent="0.3">
      <c r="B10" s="34" t="s">
        <v>192</v>
      </c>
    </row>
    <row r="11" spans="2:2" x14ac:dyDescent="0.3">
      <c r="B11" s="34" t="s">
        <v>193</v>
      </c>
    </row>
    <row r="12" spans="2:2" x14ac:dyDescent="0.3">
      <c r="B12" s="34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15F3-F3F8-40DD-AD8C-BAF594D8563C}">
  <dimension ref="B1:J39"/>
  <sheetViews>
    <sheetView showGridLines="0"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" sqref="B2"/>
    </sheetView>
  </sheetViews>
  <sheetFormatPr baseColWidth="10" defaultColWidth="11.5546875" defaultRowHeight="14.4" x14ac:dyDescent="0.3"/>
  <cols>
    <col min="1" max="1" width="1.33203125" style="2" customWidth="1"/>
    <col min="2" max="2" width="23.33203125" style="7" customWidth="1"/>
    <col min="3" max="3" width="24.6640625" style="7" customWidth="1"/>
    <col min="4" max="4" width="29.33203125" style="7" customWidth="1"/>
    <col min="5" max="5" width="22.6640625" style="7" customWidth="1"/>
    <col min="6" max="6" width="26.33203125" style="7" bestFit="1" customWidth="1"/>
    <col min="7" max="7" width="12.5546875" style="3" customWidth="1"/>
    <col min="8" max="8" width="19.88671875" style="2" bestFit="1" customWidth="1"/>
    <col min="9" max="9" width="23.33203125" style="2" bestFit="1" customWidth="1"/>
    <col min="10" max="10" width="52.88671875" style="2" bestFit="1" customWidth="1"/>
    <col min="11" max="16384" width="11.5546875" style="2"/>
  </cols>
  <sheetData>
    <row r="1" spans="2:10" ht="7.2" customHeight="1" x14ac:dyDescent="0.3"/>
    <row r="2" spans="2:10" ht="28.95" customHeight="1" x14ac:dyDescent="0.3">
      <c r="B2" s="9" t="s">
        <v>80</v>
      </c>
      <c r="C2" s="9" t="s">
        <v>81</v>
      </c>
      <c r="D2" s="9" t="s">
        <v>82</v>
      </c>
      <c r="E2" s="9" t="s">
        <v>83</v>
      </c>
      <c r="F2" s="9" t="s">
        <v>84</v>
      </c>
      <c r="G2" s="16" t="s">
        <v>85</v>
      </c>
      <c r="H2" s="10" t="s">
        <v>86</v>
      </c>
      <c r="I2" s="10" t="s">
        <v>87</v>
      </c>
      <c r="J2" s="10" t="s">
        <v>88</v>
      </c>
    </row>
    <row r="3" spans="2:10" x14ac:dyDescent="0.3">
      <c r="B3" s="186" t="s">
        <v>0</v>
      </c>
      <c r="C3" s="8" t="s">
        <v>7</v>
      </c>
      <c r="D3" s="13" t="s">
        <v>89</v>
      </c>
      <c r="E3" s="13" t="s">
        <v>90</v>
      </c>
      <c r="F3" s="13" t="s">
        <v>91</v>
      </c>
      <c r="G3" s="17"/>
      <c r="H3" s="11"/>
      <c r="I3" s="11"/>
      <c r="J3" s="11"/>
    </row>
    <row r="4" spans="2:10" x14ac:dyDescent="0.3">
      <c r="B4" s="186"/>
      <c r="C4" s="8" t="s">
        <v>8</v>
      </c>
      <c r="D4" s="13" t="s">
        <v>89</v>
      </c>
      <c r="E4" s="13" t="s">
        <v>90</v>
      </c>
      <c r="F4" s="13" t="s">
        <v>91</v>
      </c>
      <c r="G4" s="17"/>
      <c r="H4" s="11"/>
      <c r="I4" s="11"/>
      <c r="J4" s="11"/>
    </row>
    <row r="5" spans="2:10" x14ac:dyDescent="0.3">
      <c r="B5" s="187" t="s">
        <v>1</v>
      </c>
      <c r="C5" s="4" t="s">
        <v>9</v>
      </c>
      <c r="D5" s="14" t="s">
        <v>89</v>
      </c>
      <c r="E5" s="14" t="s">
        <v>90</v>
      </c>
      <c r="F5" s="14" t="s">
        <v>91</v>
      </c>
      <c r="G5" s="21" t="s">
        <v>92</v>
      </c>
      <c r="H5" s="12"/>
      <c r="I5" s="12"/>
      <c r="J5" s="12" t="s">
        <v>93</v>
      </c>
    </row>
    <row r="6" spans="2:10" x14ac:dyDescent="0.3">
      <c r="B6" s="187"/>
      <c r="C6" s="4" t="s">
        <v>10</v>
      </c>
      <c r="D6" s="14" t="s">
        <v>89</v>
      </c>
      <c r="E6" s="14" t="s">
        <v>90</v>
      </c>
      <c r="F6" s="14" t="s">
        <v>91</v>
      </c>
      <c r="G6" s="21" t="s">
        <v>92</v>
      </c>
      <c r="H6" s="12"/>
      <c r="I6" s="12"/>
      <c r="J6" s="12" t="s">
        <v>93</v>
      </c>
    </row>
    <row r="7" spans="2:10" x14ac:dyDescent="0.3">
      <c r="B7" s="187"/>
      <c r="C7" s="4" t="s">
        <v>11</v>
      </c>
      <c r="D7" s="14" t="s">
        <v>89</v>
      </c>
      <c r="E7" s="14" t="s">
        <v>90</v>
      </c>
      <c r="F7" s="14" t="s">
        <v>91</v>
      </c>
      <c r="G7" s="21" t="s">
        <v>92</v>
      </c>
      <c r="H7" s="12"/>
      <c r="I7" s="12"/>
      <c r="J7" s="12" t="s">
        <v>93</v>
      </c>
    </row>
    <row r="8" spans="2:10" x14ac:dyDescent="0.3">
      <c r="B8" s="186" t="s">
        <v>2</v>
      </c>
      <c r="C8" s="8" t="s">
        <v>12</v>
      </c>
      <c r="D8" s="13" t="s">
        <v>94</v>
      </c>
      <c r="E8" s="13" t="s">
        <v>95</v>
      </c>
      <c r="F8" s="13" t="s">
        <v>95</v>
      </c>
      <c r="G8" s="17"/>
      <c r="H8" s="11"/>
      <c r="I8" s="11"/>
      <c r="J8" s="11"/>
    </row>
    <row r="9" spans="2:10" x14ac:dyDescent="0.3">
      <c r="B9" s="186"/>
      <c r="C9" s="8" t="s">
        <v>13</v>
      </c>
      <c r="D9" s="13" t="s">
        <v>94</v>
      </c>
      <c r="E9" s="13" t="s">
        <v>95</v>
      </c>
      <c r="F9" s="13" t="s">
        <v>95</v>
      </c>
      <c r="G9" s="17"/>
      <c r="H9" s="11"/>
      <c r="I9" s="11"/>
      <c r="J9" s="11"/>
    </row>
    <row r="10" spans="2:10" x14ac:dyDescent="0.3">
      <c r="B10" s="186"/>
      <c r="C10" s="8" t="s">
        <v>14</v>
      </c>
      <c r="D10" s="13" t="s">
        <v>94</v>
      </c>
      <c r="E10" s="13" t="s">
        <v>95</v>
      </c>
      <c r="F10" s="13" t="s">
        <v>95</v>
      </c>
      <c r="G10" s="17"/>
      <c r="H10" s="11"/>
      <c r="I10" s="11"/>
      <c r="J10" s="11"/>
    </row>
    <row r="11" spans="2:10" x14ac:dyDescent="0.3">
      <c r="B11" s="186"/>
      <c r="C11" s="19" t="s">
        <v>15</v>
      </c>
      <c r="D11" s="13" t="s">
        <v>94</v>
      </c>
      <c r="E11" s="13" t="s">
        <v>95</v>
      </c>
      <c r="F11" s="13" t="s">
        <v>95</v>
      </c>
      <c r="G11" s="17"/>
      <c r="H11" s="11"/>
      <c r="I11" s="11"/>
      <c r="J11" s="11"/>
    </row>
    <row r="12" spans="2:10" x14ac:dyDescent="0.3">
      <c r="B12" s="186"/>
      <c r="C12" s="8" t="s">
        <v>16</v>
      </c>
      <c r="D12" s="8" t="s">
        <v>16</v>
      </c>
      <c r="E12" s="13" t="s">
        <v>90</v>
      </c>
      <c r="F12" s="13"/>
      <c r="G12" s="17"/>
      <c r="H12" s="11"/>
      <c r="I12" s="11"/>
      <c r="J12" s="11"/>
    </row>
    <row r="13" spans="2:10" x14ac:dyDescent="0.3">
      <c r="B13" s="186"/>
      <c r="C13" s="8" t="s">
        <v>17</v>
      </c>
      <c r="D13" s="13" t="s">
        <v>96</v>
      </c>
      <c r="E13" s="13" t="s">
        <v>97</v>
      </c>
      <c r="F13" s="13" t="s">
        <v>98</v>
      </c>
      <c r="G13" s="17"/>
      <c r="H13" s="11"/>
      <c r="I13" s="11"/>
      <c r="J13" s="11"/>
    </row>
    <row r="14" spans="2:10" x14ac:dyDescent="0.3">
      <c r="B14" s="186"/>
      <c r="C14" s="8" t="s">
        <v>18</v>
      </c>
      <c r="D14" s="13" t="s">
        <v>96</v>
      </c>
      <c r="E14" s="13"/>
      <c r="F14" s="13"/>
      <c r="G14" s="17"/>
      <c r="H14" s="11"/>
      <c r="I14" s="11"/>
      <c r="J14" s="11"/>
    </row>
    <row r="15" spans="2:10" x14ac:dyDescent="0.3">
      <c r="B15" s="186"/>
      <c r="C15" s="6" t="s">
        <v>19</v>
      </c>
      <c r="D15" s="15" t="s">
        <v>99</v>
      </c>
      <c r="E15" s="15" t="s">
        <v>95</v>
      </c>
      <c r="F15" s="15" t="s">
        <v>95</v>
      </c>
      <c r="G15" s="5"/>
      <c r="H15" s="20"/>
      <c r="I15" s="20"/>
      <c r="J15" s="20"/>
    </row>
    <row r="16" spans="2:10" x14ac:dyDescent="0.3">
      <c r="B16" s="187" t="s">
        <v>3</v>
      </c>
      <c r="C16" s="4" t="s">
        <v>20</v>
      </c>
      <c r="D16" s="14" t="s">
        <v>99</v>
      </c>
      <c r="E16" s="14" t="s">
        <v>95</v>
      </c>
      <c r="F16" s="14" t="s">
        <v>95</v>
      </c>
      <c r="G16" s="18"/>
      <c r="H16" s="18"/>
      <c r="I16" s="12"/>
      <c r="J16" s="12"/>
    </row>
    <row r="17" spans="2:10" x14ac:dyDescent="0.3">
      <c r="B17" s="187"/>
      <c r="C17" s="4" t="s">
        <v>21</v>
      </c>
      <c r="D17" s="14" t="s">
        <v>99</v>
      </c>
      <c r="E17" s="14" t="s">
        <v>95</v>
      </c>
      <c r="F17" s="14" t="s">
        <v>95</v>
      </c>
      <c r="G17" s="18"/>
      <c r="H17" s="18"/>
      <c r="I17" s="12"/>
      <c r="J17" s="12"/>
    </row>
    <row r="18" spans="2:10" x14ac:dyDescent="0.3">
      <c r="B18" s="187"/>
      <c r="C18" s="4" t="s">
        <v>22</v>
      </c>
      <c r="D18" s="14" t="s">
        <v>89</v>
      </c>
      <c r="E18" s="14" t="s">
        <v>90</v>
      </c>
      <c r="F18" s="14" t="s">
        <v>91</v>
      </c>
      <c r="G18" s="18"/>
      <c r="H18" s="18" t="s">
        <v>100</v>
      </c>
      <c r="I18" s="12"/>
      <c r="J18" s="12" t="s">
        <v>93</v>
      </c>
    </row>
    <row r="19" spans="2:10" x14ac:dyDescent="0.3">
      <c r="B19" s="187"/>
      <c r="C19" s="4" t="s">
        <v>23</v>
      </c>
      <c r="D19" s="14" t="s">
        <v>89</v>
      </c>
      <c r="E19" s="14" t="s">
        <v>90</v>
      </c>
      <c r="F19" s="14" t="s">
        <v>91</v>
      </c>
      <c r="G19" s="18"/>
      <c r="H19" s="18" t="s">
        <v>100</v>
      </c>
      <c r="I19" s="12"/>
      <c r="J19" s="12" t="s">
        <v>93</v>
      </c>
    </row>
    <row r="20" spans="2:10" x14ac:dyDescent="0.3">
      <c r="B20" s="187"/>
      <c r="C20" s="4" t="s">
        <v>24</v>
      </c>
      <c r="D20" s="14" t="s">
        <v>89</v>
      </c>
      <c r="E20" s="14" t="s">
        <v>90</v>
      </c>
      <c r="F20" s="14" t="s">
        <v>91</v>
      </c>
      <c r="G20" s="18"/>
      <c r="H20" s="18" t="s">
        <v>100</v>
      </c>
      <c r="I20" s="12"/>
      <c r="J20" s="12" t="s">
        <v>93</v>
      </c>
    </row>
    <row r="21" spans="2:10" x14ac:dyDescent="0.3">
      <c r="B21" s="187"/>
      <c r="C21" s="4" t="s">
        <v>25</v>
      </c>
      <c r="D21" s="14" t="s">
        <v>89</v>
      </c>
      <c r="E21" s="14" t="s">
        <v>90</v>
      </c>
      <c r="F21" s="14" t="s">
        <v>91</v>
      </c>
      <c r="G21" s="21" t="s">
        <v>92</v>
      </c>
      <c r="H21" s="12"/>
      <c r="I21" s="12"/>
      <c r="J21" s="12" t="s">
        <v>93</v>
      </c>
    </row>
    <row r="22" spans="2:10" x14ac:dyDescent="0.3">
      <c r="B22" s="188" t="s">
        <v>4</v>
      </c>
      <c r="C22" s="6" t="s">
        <v>26</v>
      </c>
      <c r="D22" s="15" t="s">
        <v>99</v>
      </c>
      <c r="E22" s="15" t="s">
        <v>95</v>
      </c>
      <c r="F22" s="15" t="s">
        <v>95</v>
      </c>
      <c r="G22" s="5"/>
      <c r="H22" s="20"/>
      <c r="I22" s="20"/>
      <c r="J22" s="20" t="s">
        <v>101</v>
      </c>
    </row>
    <row r="23" spans="2:10" x14ac:dyDescent="0.3">
      <c r="B23" s="188"/>
      <c r="C23" s="6" t="s">
        <v>27</v>
      </c>
      <c r="D23" s="15" t="s">
        <v>99</v>
      </c>
      <c r="E23" s="15" t="s">
        <v>95</v>
      </c>
      <c r="F23" s="15" t="s">
        <v>95</v>
      </c>
      <c r="G23" s="5"/>
      <c r="H23" s="20"/>
      <c r="I23" s="20"/>
      <c r="J23" s="20" t="s">
        <v>101</v>
      </c>
    </row>
    <row r="24" spans="2:10" x14ac:dyDescent="0.3">
      <c r="B24" s="188"/>
      <c r="C24" s="6" t="s">
        <v>28</v>
      </c>
      <c r="D24" s="15" t="s">
        <v>99</v>
      </c>
      <c r="E24" s="15" t="s">
        <v>95</v>
      </c>
      <c r="F24" s="15" t="s">
        <v>95</v>
      </c>
      <c r="G24" s="5"/>
      <c r="H24" s="20"/>
      <c r="I24" s="20"/>
      <c r="J24" s="20" t="s">
        <v>101</v>
      </c>
    </row>
    <row r="25" spans="2:10" x14ac:dyDescent="0.3">
      <c r="B25" s="188"/>
      <c r="C25" s="6" t="s">
        <v>29</v>
      </c>
      <c r="D25" s="15" t="s">
        <v>99</v>
      </c>
      <c r="E25" s="15" t="s">
        <v>95</v>
      </c>
      <c r="F25" s="15" t="s">
        <v>95</v>
      </c>
      <c r="G25" s="5"/>
      <c r="H25" s="20"/>
      <c r="I25" s="20"/>
      <c r="J25" s="20" t="s">
        <v>101</v>
      </c>
    </row>
    <row r="26" spans="2:10" x14ac:dyDescent="0.3">
      <c r="B26" s="188"/>
      <c r="C26" s="6" t="s">
        <v>30</v>
      </c>
      <c r="D26" s="15" t="s">
        <v>99</v>
      </c>
      <c r="E26" s="15" t="s">
        <v>95</v>
      </c>
      <c r="F26" s="15" t="s">
        <v>95</v>
      </c>
      <c r="G26" s="5"/>
      <c r="H26" s="20"/>
      <c r="I26" s="20"/>
      <c r="J26" s="20" t="s">
        <v>101</v>
      </c>
    </row>
    <row r="27" spans="2:10" x14ac:dyDescent="0.3">
      <c r="B27" s="188"/>
      <c r="C27" s="6" t="s">
        <v>31</v>
      </c>
      <c r="D27" s="15" t="s">
        <v>99</v>
      </c>
      <c r="E27" s="15" t="s">
        <v>95</v>
      </c>
      <c r="F27" s="15" t="s">
        <v>95</v>
      </c>
      <c r="G27" s="5"/>
      <c r="H27" s="20"/>
      <c r="I27" s="20"/>
      <c r="J27" s="20" t="s">
        <v>101</v>
      </c>
    </row>
    <row r="28" spans="2:10" x14ac:dyDescent="0.3">
      <c r="B28" s="189" t="s">
        <v>5</v>
      </c>
      <c r="C28" s="4" t="s">
        <v>32</v>
      </c>
      <c r="D28" s="14" t="s">
        <v>89</v>
      </c>
      <c r="E28" s="14" t="s">
        <v>90</v>
      </c>
      <c r="F28" s="14" t="s">
        <v>91</v>
      </c>
      <c r="G28" s="18"/>
      <c r="H28" s="18"/>
      <c r="I28" s="12"/>
      <c r="J28" s="12" t="s">
        <v>102</v>
      </c>
    </row>
    <row r="29" spans="2:10" x14ac:dyDescent="0.3">
      <c r="B29" s="189"/>
      <c r="C29" s="4" t="s">
        <v>33</v>
      </c>
      <c r="D29" s="14" t="s">
        <v>89</v>
      </c>
      <c r="E29" s="14" t="s">
        <v>90</v>
      </c>
      <c r="F29" s="14" t="s">
        <v>91</v>
      </c>
      <c r="G29" s="18"/>
      <c r="H29" s="18"/>
      <c r="I29" s="12"/>
      <c r="J29" s="12" t="s">
        <v>102</v>
      </c>
    </row>
    <row r="30" spans="2:10" x14ac:dyDescent="0.3">
      <c r="B30" s="189"/>
      <c r="C30" s="6" t="s">
        <v>34</v>
      </c>
      <c r="D30" s="15" t="s">
        <v>99</v>
      </c>
      <c r="E30" s="15" t="s">
        <v>95</v>
      </c>
      <c r="F30" s="15" t="s">
        <v>95</v>
      </c>
      <c r="G30" s="5"/>
      <c r="H30" s="20"/>
      <c r="I30" s="20"/>
      <c r="J30" s="20"/>
    </row>
    <row r="31" spans="2:10" x14ac:dyDescent="0.3">
      <c r="B31" s="189"/>
      <c r="C31" s="6" t="s">
        <v>35</v>
      </c>
      <c r="D31" s="15" t="s">
        <v>99</v>
      </c>
      <c r="E31" s="15" t="s">
        <v>95</v>
      </c>
      <c r="F31" s="15" t="s">
        <v>95</v>
      </c>
      <c r="G31" s="5"/>
      <c r="H31" s="20"/>
      <c r="I31" s="20"/>
      <c r="J31" s="20"/>
    </row>
    <row r="32" spans="2:10" x14ac:dyDescent="0.3">
      <c r="B32" s="189"/>
      <c r="C32" s="4" t="s">
        <v>36</v>
      </c>
      <c r="D32" s="14" t="s">
        <v>89</v>
      </c>
      <c r="E32" s="14" t="s">
        <v>90</v>
      </c>
      <c r="F32" s="14" t="s">
        <v>91</v>
      </c>
      <c r="G32" s="18"/>
      <c r="H32" s="18"/>
      <c r="I32" s="12"/>
      <c r="J32" s="12" t="s">
        <v>102</v>
      </c>
    </row>
    <row r="33" spans="2:10" x14ac:dyDescent="0.3">
      <c r="B33" s="189"/>
      <c r="C33" s="4" t="s">
        <v>37</v>
      </c>
      <c r="D33" s="14" t="s">
        <v>89</v>
      </c>
      <c r="E33" s="14" t="s">
        <v>90</v>
      </c>
      <c r="F33" s="14" t="s">
        <v>91</v>
      </c>
      <c r="G33" s="18"/>
      <c r="H33" s="18"/>
      <c r="I33" s="12"/>
      <c r="J33" s="12" t="s">
        <v>102</v>
      </c>
    </row>
    <row r="34" spans="2:10" x14ac:dyDescent="0.3">
      <c r="B34" s="189"/>
      <c r="C34" s="4" t="s">
        <v>38</v>
      </c>
      <c r="D34" s="14" t="s">
        <v>89</v>
      </c>
      <c r="E34" s="14" t="s">
        <v>90</v>
      </c>
      <c r="F34" s="14" t="s">
        <v>91</v>
      </c>
      <c r="G34" s="18"/>
      <c r="H34" s="18"/>
      <c r="I34" s="12"/>
      <c r="J34" s="12" t="s">
        <v>102</v>
      </c>
    </row>
    <row r="35" spans="2:10" x14ac:dyDescent="0.3">
      <c r="B35" s="189"/>
      <c r="C35" s="4" t="s">
        <v>39</v>
      </c>
      <c r="D35" s="14" t="s">
        <v>89</v>
      </c>
      <c r="E35" s="14" t="s">
        <v>90</v>
      </c>
      <c r="F35" s="14" t="s">
        <v>91</v>
      </c>
      <c r="G35" s="18"/>
      <c r="H35" s="18"/>
      <c r="I35" s="12"/>
      <c r="J35" s="12" t="s">
        <v>102</v>
      </c>
    </row>
    <row r="36" spans="2:10" x14ac:dyDescent="0.3">
      <c r="B36" s="186" t="s">
        <v>6</v>
      </c>
      <c r="C36" s="6" t="s">
        <v>40</v>
      </c>
      <c r="D36" s="15" t="s">
        <v>99</v>
      </c>
      <c r="E36" s="15" t="s">
        <v>95</v>
      </c>
      <c r="F36" s="15" t="s">
        <v>95</v>
      </c>
      <c r="G36" s="5"/>
      <c r="H36" s="20"/>
      <c r="I36" s="20"/>
      <c r="J36" s="20" t="s">
        <v>101</v>
      </c>
    </row>
    <row r="37" spans="2:10" x14ac:dyDescent="0.3">
      <c r="B37" s="186"/>
      <c r="C37" s="6" t="s">
        <v>41</v>
      </c>
      <c r="D37" s="15" t="s">
        <v>99</v>
      </c>
      <c r="E37" s="15" t="s">
        <v>95</v>
      </c>
      <c r="F37" s="15" t="s">
        <v>95</v>
      </c>
      <c r="G37" s="5"/>
      <c r="H37" s="20"/>
      <c r="I37" s="20"/>
      <c r="J37" s="20" t="s">
        <v>101</v>
      </c>
    </row>
    <row r="38" spans="2:10" x14ac:dyDescent="0.3">
      <c r="B38" s="186"/>
      <c r="C38" s="6" t="s">
        <v>42</v>
      </c>
      <c r="D38" s="15" t="s">
        <v>99</v>
      </c>
      <c r="E38" s="15" t="s">
        <v>95</v>
      </c>
      <c r="F38" s="15" t="s">
        <v>95</v>
      </c>
      <c r="G38" s="5"/>
      <c r="H38" s="20"/>
      <c r="I38" s="20"/>
      <c r="J38" s="20" t="s">
        <v>101</v>
      </c>
    </row>
    <row r="39" spans="2:10" x14ac:dyDescent="0.3">
      <c r="B39" s="186"/>
      <c r="C39" s="6" t="s">
        <v>43</v>
      </c>
      <c r="D39" s="15" t="s">
        <v>99</v>
      </c>
      <c r="E39" s="15" t="s">
        <v>95</v>
      </c>
      <c r="F39" s="15" t="s">
        <v>95</v>
      </c>
      <c r="G39" s="5"/>
      <c r="H39" s="20"/>
      <c r="I39" s="20"/>
      <c r="J39" s="20" t="s">
        <v>101</v>
      </c>
    </row>
  </sheetData>
  <autoFilter ref="B2:J2" xr:uid="{11E615F3-F3F8-40DD-AD8C-BAF594D8563C}"/>
  <mergeCells count="7">
    <mergeCell ref="B36:B39"/>
    <mergeCell ref="B3:B4"/>
    <mergeCell ref="B5:B7"/>
    <mergeCell ref="B8:B15"/>
    <mergeCell ref="B16:B21"/>
    <mergeCell ref="B22:B27"/>
    <mergeCell ref="B28:B35"/>
  </mergeCells>
  <hyperlinks>
    <hyperlink ref="G5" r:id="rId1" xr:uid="{E3B5B21B-910C-4186-8B33-C55763E057C0}"/>
    <hyperlink ref="G6" r:id="rId2" xr:uid="{0258FF11-4F03-4C57-B990-AB8051439CDB}"/>
    <hyperlink ref="G7" r:id="rId3" xr:uid="{6F6FF8F0-2C3E-4D08-B3E4-105B4FF863F7}"/>
    <hyperlink ref="G21" r:id="rId4" xr:uid="{464EAED1-E9FC-4AF5-9EE3-5BFA28AB862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4415-3491-4662-935B-BF747BB6199F}">
  <dimension ref="B1:AB170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2" customWidth="1"/>
    <col min="2" max="2" width="8" style="2" customWidth="1"/>
    <col min="3" max="3" width="8.44140625" style="2" customWidth="1"/>
    <col min="4" max="4" width="7.109375" style="2" customWidth="1"/>
    <col min="5" max="5" width="12.44140625" style="2" customWidth="1"/>
    <col min="6" max="6" width="7.109375" style="2" customWidth="1"/>
    <col min="7" max="8" width="3.44140625" style="2" customWidth="1"/>
    <col min="9" max="9" width="7.109375" style="2" customWidth="1"/>
    <col min="10" max="10" width="11.109375" style="2" customWidth="1"/>
    <col min="11" max="11" width="7.109375" style="2" customWidth="1"/>
    <col min="12" max="12" width="6.77734375" style="2" customWidth="1"/>
    <col min="13" max="13" width="6.109375" style="2" customWidth="1"/>
    <col min="14" max="14" width="7.109375" style="2" customWidth="1"/>
    <col min="15" max="16" width="3.44140625" style="2" customWidth="1"/>
    <col min="17" max="17" width="10.77734375" style="2" customWidth="1"/>
    <col min="18" max="18" width="7.33203125" style="2" customWidth="1"/>
    <col min="19" max="19" width="7.109375" style="2" customWidth="1"/>
    <col min="20" max="20" width="13.33203125" style="2" customWidth="1"/>
    <col min="21" max="21" width="7.109375" style="2" customWidth="1"/>
    <col min="22" max="22" width="4.33203125" style="2" customWidth="1"/>
    <col min="23" max="23" width="8.109375" style="2" customWidth="1"/>
    <col min="24" max="24" width="7.109375" style="2" customWidth="1"/>
    <col min="25" max="25" width="3.6640625" style="2" customWidth="1"/>
    <col min="26" max="26" width="7.109375" style="2" customWidth="1"/>
    <col min="27" max="27" width="12.44140625" style="2" customWidth="1"/>
    <col min="28" max="28" width="7.109375" style="2" customWidth="1"/>
    <col min="29" max="16384" width="11.44140625" style="2"/>
  </cols>
  <sheetData>
    <row r="1" spans="2:28" ht="8.5500000000000007" customHeight="1" x14ac:dyDescent="0.3"/>
    <row r="2" spans="2:28" ht="37.950000000000003" customHeight="1" x14ac:dyDescent="0.3">
      <c r="B2" s="172" t="s">
        <v>301</v>
      </c>
      <c r="C2" s="171"/>
      <c r="D2" s="169"/>
      <c r="E2" s="170"/>
      <c r="F2" s="169"/>
      <c r="G2" s="169"/>
      <c r="H2" s="169"/>
      <c r="I2" s="169"/>
      <c r="J2" s="168"/>
      <c r="K2" s="169"/>
      <c r="L2" s="169"/>
      <c r="M2" s="170"/>
      <c r="N2" s="169"/>
      <c r="O2" s="168"/>
      <c r="P2" s="168"/>
      <c r="Q2" s="169"/>
      <c r="R2" s="168"/>
      <c r="S2" s="168"/>
      <c r="T2" s="168"/>
      <c r="U2" s="168"/>
      <c r="V2" s="168"/>
      <c r="W2" s="169"/>
      <c r="X2" s="168"/>
      <c r="Y2" s="168"/>
      <c r="Z2" s="168"/>
      <c r="AA2" s="168"/>
      <c r="AB2" s="168"/>
    </row>
    <row r="3" spans="2:28" ht="8.5500000000000007" customHeight="1" x14ac:dyDescent="0.3"/>
    <row r="4" spans="2:28" x14ac:dyDescent="0.3">
      <c r="B4" s="145" t="s">
        <v>299</v>
      </c>
      <c r="C4" s="144"/>
      <c r="D4" s="144"/>
      <c r="E4" s="144"/>
      <c r="F4" s="144"/>
      <c r="H4" s="157"/>
      <c r="I4" s="145" t="s">
        <v>298</v>
      </c>
      <c r="J4" s="144"/>
      <c r="K4" s="144"/>
      <c r="L4" s="144"/>
      <c r="M4" s="144"/>
      <c r="N4" s="144"/>
      <c r="P4" s="157"/>
      <c r="Q4" s="145" t="s">
        <v>297</v>
      </c>
      <c r="R4" s="144"/>
      <c r="S4" s="144"/>
      <c r="T4" s="144"/>
      <c r="U4" s="144"/>
      <c r="V4" s="144"/>
      <c r="W4" s="145"/>
      <c r="X4" s="144"/>
      <c r="Y4" s="144"/>
      <c r="Z4" s="144"/>
      <c r="AA4" s="144"/>
      <c r="AB4" s="144"/>
    </row>
    <row r="5" spans="2:28" ht="8.5500000000000007" customHeight="1" x14ac:dyDescent="0.3">
      <c r="H5" s="157"/>
      <c r="P5" s="157"/>
    </row>
    <row r="6" spans="2:28" x14ac:dyDescent="0.3">
      <c r="D6" s="3" t="s">
        <v>230</v>
      </c>
      <c r="F6" s="3" t="s">
        <v>229</v>
      </c>
      <c r="H6" s="157"/>
      <c r="K6" s="3" t="s">
        <v>230</v>
      </c>
      <c r="L6" s="3"/>
      <c r="N6" s="3" t="s">
        <v>229</v>
      </c>
      <c r="P6" s="157"/>
      <c r="S6" s="3" t="s">
        <v>230</v>
      </c>
      <c r="U6" s="3" t="s">
        <v>229</v>
      </c>
      <c r="Z6" s="3" t="s">
        <v>230</v>
      </c>
      <c r="AB6" s="3" t="s">
        <v>229</v>
      </c>
    </row>
    <row r="7" spans="2:28" x14ac:dyDescent="0.3">
      <c r="B7" s="2" t="s">
        <v>228</v>
      </c>
      <c r="D7" s="143">
        <v>1</v>
      </c>
      <c r="E7" s="167" t="s">
        <v>288</v>
      </c>
      <c r="F7" s="143">
        <v>1000</v>
      </c>
      <c r="H7" s="157"/>
      <c r="I7" s="2" t="s">
        <v>296</v>
      </c>
      <c r="K7" s="224" t="s">
        <v>295</v>
      </c>
      <c r="L7" s="231"/>
      <c r="M7" s="231"/>
      <c r="N7" s="225"/>
      <c r="P7" s="157"/>
      <c r="Q7" s="83" t="s">
        <v>147</v>
      </c>
      <c r="S7" s="163">
        <v>0</v>
      </c>
      <c r="T7" s="149" t="s">
        <v>294</v>
      </c>
      <c r="U7" s="163">
        <v>1</v>
      </c>
      <c r="W7" s="83" t="s">
        <v>176</v>
      </c>
      <c r="Z7" s="164" t="s">
        <v>95</v>
      </c>
      <c r="AA7" s="167" t="s">
        <v>288</v>
      </c>
      <c r="AB7" s="164" t="s">
        <v>95</v>
      </c>
    </row>
    <row r="8" spans="2:28" x14ac:dyDescent="0.3">
      <c r="B8" s="2" t="s">
        <v>293</v>
      </c>
      <c r="D8" s="143">
        <v>1</v>
      </c>
      <c r="E8" s="149" t="s">
        <v>292</v>
      </c>
      <c r="F8" s="143">
        <v>6</v>
      </c>
      <c r="H8" s="157"/>
      <c r="I8" s="2" t="s">
        <v>226</v>
      </c>
      <c r="K8" s="143" t="s">
        <v>225</v>
      </c>
      <c r="L8" s="224" t="s">
        <v>251</v>
      </c>
      <c r="M8" s="225"/>
      <c r="N8" s="143" t="s">
        <v>291</v>
      </c>
      <c r="P8" s="157"/>
    </row>
    <row r="9" spans="2:28" x14ac:dyDescent="0.3">
      <c r="B9" s="2" t="s">
        <v>290</v>
      </c>
      <c r="D9" s="163">
        <v>0</v>
      </c>
      <c r="E9" s="149" t="s">
        <v>251</v>
      </c>
      <c r="F9" s="163">
        <v>1</v>
      </c>
      <c r="H9" s="157"/>
      <c r="I9" s="2" t="s">
        <v>289</v>
      </c>
      <c r="K9" s="164" t="s">
        <v>95</v>
      </c>
      <c r="L9" s="166" t="s">
        <v>288</v>
      </c>
      <c r="M9" s="165" t="s">
        <v>287</v>
      </c>
      <c r="N9" s="164" t="s">
        <v>95</v>
      </c>
      <c r="P9" s="157"/>
      <c r="Q9" s="2" t="s">
        <v>286</v>
      </c>
      <c r="T9" s="163" t="s">
        <v>151</v>
      </c>
      <c r="U9" s="162"/>
      <c r="W9" s="2" t="s">
        <v>152</v>
      </c>
      <c r="AA9" s="163" t="s">
        <v>151</v>
      </c>
      <c r="AB9" s="162"/>
    </row>
    <row r="10" spans="2:28" x14ac:dyDescent="0.3">
      <c r="H10" s="157"/>
      <c r="P10" s="157"/>
      <c r="Q10" s="2" t="s">
        <v>285</v>
      </c>
      <c r="T10" s="163" t="s">
        <v>151</v>
      </c>
      <c r="U10" s="162"/>
      <c r="W10" s="2" t="s">
        <v>154</v>
      </c>
      <c r="AA10" s="163" t="s">
        <v>151</v>
      </c>
      <c r="AB10" s="162"/>
    </row>
    <row r="11" spans="2:28" x14ac:dyDescent="0.3">
      <c r="H11" s="157"/>
      <c r="P11" s="157"/>
      <c r="Q11" s="2" t="s">
        <v>284</v>
      </c>
      <c r="T11" s="163" t="s">
        <v>151</v>
      </c>
      <c r="U11" s="162"/>
      <c r="W11" s="2" t="s">
        <v>156</v>
      </c>
      <c r="AA11" s="163" t="s">
        <v>151</v>
      </c>
      <c r="AB11" s="162"/>
    </row>
    <row r="12" spans="2:28" x14ac:dyDescent="0.3">
      <c r="H12" s="157"/>
      <c r="P12" s="157"/>
      <c r="Q12" s="2" t="s">
        <v>283</v>
      </c>
      <c r="T12" s="163" t="s">
        <v>151</v>
      </c>
      <c r="U12" s="162"/>
      <c r="W12" s="2" t="s">
        <v>164</v>
      </c>
      <c r="AA12" s="163" t="s">
        <v>151</v>
      </c>
      <c r="AB12" s="162"/>
    </row>
    <row r="13" spans="2:28" x14ac:dyDescent="0.3">
      <c r="H13" s="157"/>
      <c r="P13" s="157"/>
      <c r="Q13" s="2" t="s">
        <v>282</v>
      </c>
      <c r="T13" s="163" t="s">
        <v>151</v>
      </c>
      <c r="U13" s="162"/>
      <c r="W13" s="2" t="s">
        <v>158</v>
      </c>
      <c r="AA13" s="163" t="s">
        <v>151</v>
      </c>
      <c r="AB13" s="162"/>
    </row>
    <row r="14" spans="2:28" x14ac:dyDescent="0.3">
      <c r="H14" s="157"/>
      <c r="P14" s="157"/>
      <c r="Q14" s="2" t="s">
        <v>281</v>
      </c>
      <c r="T14" s="163" t="s">
        <v>151</v>
      </c>
      <c r="U14" s="162"/>
      <c r="W14" s="2" t="s">
        <v>160</v>
      </c>
      <c r="AA14" s="163" t="s">
        <v>151</v>
      </c>
      <c r="AB14" s="162"/>
    </row>
    <row r="15" spans="2:28" x14ac:dyDescent="0.3">
      <c r="H15" s="157"/>
      <c r="P15" s="157"/>
      <c r="Q15" s="2" t="s">
        <v>280</v>
      </c>
      <c r="T15" s="163" t="s">
        <v>151</v>
      </c>
      <c r="W15" s="2" t="s">
        <v>162</v>
      </c>
      <c r="AA15" s="163" t="s">
        <v>151</v>
      </c>
      <c r="AB15" s="162"/>
    </row>
    <row r="16" spans="2:28" ht="8.5500000000000007" customHeight="1" x14ac:dyDescent="0.3"/>
    <row r="17" spans="2:28" ht="14.55" customHeight="1" x14ac:dyDescent="0.3">
      <c r="B17" s="145" t="s">
        <v>279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</row>
    <row r="18" spans="2:28" ht="8.5500000000000007" customHeight="1" x14ac:dyDescent="0.3"/>
    <row r="19" spans="2:28" ht="14.55" customHeight="1" x14ac:dyDescent="0.3">
      <c r="B19" s="232" t="s">
        <v>278</v>
      </c>
      <c r="C19" s="233"/>
      <c r="D19" s="233"/>
      <c r="E19" s="233"/>
      <c r="F19" s="234"/>
      <c r="G19" s="158"/>
      <c r="H19" s="157"/>
      <c r="I19" s="190" t="s">
        <v>277</v>
      </c>
      <c r="J19" s="191"/>
      <c r="K19" s="191"/>
      <c r="L19" s="191"/>
      <c r="M19" s="191"/>
      <c r="N19" s="192"/>
      <c r="P19" s="157"/>
    </row>
    <row r="20" spans="2:28" x14ac:dyDescent="0.3">
      <c r="B20" s="235"/>
      <c r="C20" s="236"/>
      <c r="D20" s="236"/>
      <c r="E20" s="236"/>
      <c r="F20" s="237"/>
      <c r="G20" s="158"/>
      <c r="H20" s="157"/>
      <c r="I20" s="193"/>
      <c r="J20" s="194"/>
      <c r="K20" s="194"/>
      <c r="L20" s="194"/>
      <c r="M20" s="194"/>
      <c r="N20" s="195"/>
      <c r="P20" s="157"/>
    </row>
    <row r="21" spans="2:28" x14ac:dyDescent="0.3">
      <c r="B21" s="235"/>
      <c r="C21" s="236"/>
      <c r="D21" s="236"/>
      <c r="E21" s="236"/>
      <c r="F21" s="237"/>
      <c r="G21" s="158"/>
      <c r="H21" s="157"/>
      <c r="I21" s="193"/>
      <c r="J21" s="194"/>
      <c r="K21" s="194"/>
      <c r="L21" s="194"/>
      <c r="M21" s="194"/>
      <c r="N21" s="195"/>
      <c r="P21" s="157"/>
    </row>
    <row r="22" spans="2:28" x14ac:dyDescent="0.3">
      <c r="B22" s="235"/>
      <c r="C22" s="236"/>
      <c r="D22" s="236"/>
      <c r="E22" s="236"/>
      <c r="F22" s="237"/>
      <c r="G22" s="158"/>
      <c r="H22" s="157"/>
      <c r="I22" s="193"/>
      <c r="J22" s="194"/>
      <c r="K22" s="194"/>
      <c r="L22" s="194"/>
      <c r="M22" s="194"/>
      <c r="N22" s="195"/>
      <c r="P22" s="157"/>
    </row>
    <row r="23" spans="2:28" x14ac:dyDescent="0.3">
      <c r="B23" s="235"/>
      <c r="C23" s="236"/>
      <c r="D23" s="236"/>
      <c r="E23" s="236"/>
      <c r="F23" s="237"/>
      <c r="G23" s="158"/>
      <c r="H23" s="157"/>
      <c r="I23" s="193"/>
      <c r="J23" s="194"/>
      <c r="K23" s="194"/>
      <c r="L23" s="194"/>
      <c r="M23" s="194"/>
      <c r="N23" s="195"/>
      <c r="P23" s="157"/>
    </row>
    <row r="24" spans="2:28" x14ac:dyDescent="0.3">
      <c r="B24" s="235"/>
      <c r="C24" s="236"/>
      <c r="D24" s="236"/>
      <c r="E24" s="236"/>
      <c r="F24" s="237"/>
      <c r="G24" s="158"/>
      <c r="H24" s="157"/>
      <c r="I24" s="193"/>
      <c r="J24" s="194"/>
      <c r="K24" s="194"/>
      <c r="L24" s="194"/>
      <c r="M24" s="194"/>
      <c r="N24" s="195"/>
      <c r="P24" s="157"/>
    </row>
    <row r="25" spans="2:28" x14ac:dyDescent="0.3">
      <c r="B25" s="235"/>
      <c r="C25" s="236"/>
      <c r="D25" s="236"/>
      <c r="E25" s="236"/>
      <c r="F25" s="237"/>
      <c r="G25" s="158"/>
      <c r="H25" s="157"/>
      <c r="I25" s="193"/>
      <c r="J25" s="194"/>
      <c r="K25" s="194"/>
      <c r="L25" s="194"/>
      <c r="M25" s="194"/>
      <c r="N25" s="195"/>
      <c r="P25" s="157"/>
    </row>
    <row r="26" spans="2:28" x14ac:dyDescent="0.3">
      <c r="B26" s="235"/>
      <c r="C26" s="236"/>
      <c r="D26" s="236"/>
      <c r="E26" s="236"/>
      <c r="F26" s="237"/>
      <c r="G26" s="158"/>
      <c r="H26" s="157"/>
      <c r="I26" s="193"/>
      <c r="J26" s="194"/>
      <c r="K26" s="194"/>
      <c r="L26" s="194"/>
      <c r="M26" s="194"/>
      <c r="N26" s="195"/>
      <c r="P26" s="157"/>
    </row>
    <row r="27" spans="2:28" x14ac:dyDescent="0.3">
      <c r="B27" s="235"/>
      <c r="C27" s="236"/>
      <c r="D27" s="236"/>
      <c r="E27" s="236"/>
      <c r="F27" s="237"/>
      <c r="G27" s="158"/>
      <c r="H27" s="157"/>
      <c r="I27" s="193"/>
      <c r="J27" s="194"/>
      <c r="K27" s="194"/>
      <c r="L27" s="194"/>
      <c r="M27" s="194"/>
      <c r="N27" s="195"/>
      <c r="P27" s="157"/>
      <c r="V27" s="161" t="s">
        <v>276</v>
      </c>
      <c r="W27" s="3"/>
    </row>
    <row r="28" spans="2:28" x14ac:dyDescent="0.3">
      <c r="B28" s="235"/>
      <c r="C28" s="236"/>
      <c r="D28" s="236"/>
      <c r="E28" s="236"/>
      <c r="F28" s="237"/>
      <c r="G28" s="158"/>
      <c r="H28" s="157"/>
      <c r="I28" s="193"/>
      <c r="J28" s="194"/>
      <c r="K28" s="194"/>
      <c r="L28" s="194"/>
      <c r="M28" s="194"/>
      <c r="N28" s="195"/>
      <c r="P28" s="157"/>
      <c r="V28" s="3"/>
      <c r="W28" s="3"/>
    </row>
    <row r="29" spans="2:28" x14ac:dyDescent="0.3">
      <c r="B29" s="235"/>
      <c r="C29" s="236"/>
      <c r="D29" s="236"/>
      <c r="E29" s="236"/>
      <c r="F29" s="237"/>
      <c r="G29" s="158"/>
      <c r="H29" s="157"/>
      <c r="I29" s="193"/>
      <c r="J29" s="194"/>
      <c r="K29" s="194"/>
      <c r="L29" s="194"/>
      <c r="M29" s="194"/>
      <c r="N29" s="195"/>
      <c r="P29" s="157"/>
      <c r="V29" s="160" t="s">
        <v>275</v>
      </c>
      <c r="W29" s="3"/>
    </row>
    <row r="30" spans="2:28" x14ac:dyDescent="0.3">
      <c r="B30" s="235"/>
      <c r="C30" s="236"/>
      <c r="D30" s="236"/>
      <c r="E30" s="236"/>
      <c r="F30" s="237"/>
      <c r="G30" s="158"/>
      <c r="H30" s="157"/>
      <c r="I30" s="193"/>
      <c r="J30" s="194"/>
      <c r="K30" s="194"/>
      <c r="L30" s="194"/>
      <c r="M30" s="194"/>
      <c r="N30" s="195"/>
      <c r="P30" s="157"/>
      <c r="V30" s="160" t="s">
        <v>274</v>
      </c>
      <c r="W30" s="3"/>
    </row>
    <row r="31" spans="2:28" x14ac:dyDescent="0.3">
      <c r="B31" s="235"/>
      <c r="C31" s="236"/>
      <c r="D31" s="236"/>
      <c r="E31" s="236"/>
      <c r="F31" s="237"/>
      <c r="G31" s="158"/>
      <c r="H31" s="157"/>
      <c r="I31" s="193"/>
      <c r="J31" s="194"/>
      <c r="K31" s="194"/>
      <c r="L31" s="194"/>
      <c r="M31" s="194"/>
      <c r="N31" s="195"/>
      <c r="P31" s="157"/>
      <c r="V31" s="3"/>
      <c r="W31" s="3"/>
    </row>
    <row r="32" spans="2:28" x14ac:dyDescent="0.3">
      <c r="B32" s="235"/>
      <c r="C32" s="236"/>
      <c r="D32" s="236"/>
      <c r="E32" s="236"/>
      <c r="F32" s="237"/>
      <c r="G32" s="158"/>
      <c r="H32" s="157"/>
      <c r="I32" s="193"/>
      <c r="J32" s="194"/>
      <c r="K32" s="194"/>
      <c r="L32" s="194"/>
      <c r="M32" s="194"/>
      <c r="N32" s="195"/>
      <c r="P32" s="157"/>
      <c r="V32" s="159" t="s">
        <v>273</v>
      </c>
      <c r="W32" s="3"/>
    </row>
    <row r="33" spans="2:28" x14ac:dyDescent="0.3">
      <c r="B33" s="238"/>
      <c r="C33" s="239"/>
      <c r="D33" s="239"/>
      <c r="E33" s="239"/>
      <c r="F33" s="240"/>
      <c r="G33" s="158"/>
      <c r="H33" s="157"/>
      <c r="I33" s="196"/>
      <c r="J33" s="197"/>
      <c r="K33" s="197"/>
      <c r="L33" s="197"/>
      <c r="M33" s="197"/>
      <c r="N33" s="198"/>
      <c r="P33" s="157"/>
    </row>
    <row r="34" spans="2:28" ht="8.5500000000000007" customHeight="1" x14ac:dyDescent="0.3"/>
    <row r="35" spans="2:28" ht="14.55" customHeight="1" x14ac:dyDescent="0.3">
      <c r="B35" s="145" t="s">
        <v>272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</row>
    <row r="36" spans="2:28" ht="8.5500000000000007" customHeight="1" x14ac:dyDescent="0.3"/>
    <row r="37" spans="2:28" x14ac:dyDescent="0.3">
      <c r="B37" s="132" t="s">
        <v>271</v>
      </c>
    </row>
    <row r="38" spans="2:28" x14ac:dyDescent="0.3">
      <c r="B38" s="132" t="s">
        <v>270</v>
      </c>
    </row>
    <row r="39" spans="2:28" x14ac:dyDescent="0.3">
      <c r="B39" s="132" t="s">
        <v>269</v>
      </c>
    </row>
    <row r="40" spans="2:28" ht="8.5500000000000007" customHeight="1" x14ac:dyDescent="0.3"/>
    <row r="41" spans="2:28" ht="14.55" customHeight="1" x14ac:dyDescent="0.3">
      <c r="B41" s="199" t="s">
        <v>237</v>
      </c>
      <c r="C41" s="199"/>
      <c r="D41" s="199"/>
      <c r="E41" s="199"/>
      <c r="F41" s="199"/>
      <c r="G41" s="199"/>
      <c r="H41" s="199"/>
      <c r="I41" s="200"/>
      <c r="K41" s="199" t="s">
        <v>236</v>
      </c>
      <c r="L41" s="199"/>
      <c r="M41" s="199"/>
      <c r="N41" s="199"/>
      <c r="O41" s="199"/>
      <c r="P41" s="199"/>
      <c r="Q41" s="199"/>
      <c r="R41" s="199"/>
      <c r="S41" s="200"/>
      <c r="U41" s="199" t="s">
        <v>235</v>
      </c>
      <c r="V41" s="199"/>
      <c r="W41" s="199"/>
      <c r="X41" s="199"/>
      <c r="Y41" s="199"/>
      <c r="Z41" s="199"/>
      <c r="AA41" s="199"/>
      <c r="AB41" s="200"/>
    </row>
    <row r="42" spans="2:28" ht="14.55" customHeight="1" x14ac:dyDescent="0.3">
      <c r="B42" s="199"/>
      <c r="C42" s="199"/>
      <c r="D42" s="199"/>
      <c r="E42" s="199"/>
      <c r="F42" s="199"/>
      <c r="G42" s="199"/>
      <c r="H42" s="199"/>
      <c r="I42" s="200"/>
      <c r="K42" s="199"/>
      <c r="L42" s="199"/>
      <c r="M42" s="199"/>
      <c r="N42" s="199"/>
      <c r="O42" s="199"/>
      <c r="P42" s="199"/>
      <c r="Q42" s="199"/>
      <c r="R42" s="199"/>
      <c r="S42" s="200"/>
      <c r="U42" s="199"/>
      <c r="V42" s="199"/>
      <c r="W42" s="199"/>
      <c r="X42" s="199"/>
      <c r="Y42" s="199"/>
      <c r="Z42" s="199"/>
      <c r="AA42" s="199"/>
      <c r="AB42" s="200"/>
    </row>
    <row r="43" spans="2:28" ht="34.950000000000003" customHeight="1" x14ac:dyDescent="0.3">
      <c r="B43" s="226" t="s">
        <v>268</v>
      </c>
      <c r="C43" s="227"/>
      <c r="D43" s="227"/>
      <c r="E43" s="227"/>
      <c r="F43" s="227"/>
      <c r="G43" s="227"/>
      <c r="H43" s="227"/>
      <c r="I43" s="228"/>
      <c r="K43" s="226" t="s">
        <v>268</v>
      </c>
      <c r="L43" s="227"/>
      <c r="M43" s="227"/>
      <c r="N43" s="227"/>
      <c r="O43" s="227"/>
      <c r="P43" s="227"/>
      <c r="Q43" s="227"/>
      <c r="R43" s="227"/>
      <c r="S43" s="228"/>
      <c r="U43" s="226" t="s">
        <v>268</v>
      </c>
      <c r="V43" s="227"/>
      <c r="W43" s="227"/>
      <c r="X43" s="227"/>
      <c r="Y43" s="227"/>
      <c r="Z43" s="227"/>
      <c r="AA43" s="227"/>
      <c r="AB43" s="228"/>
    </row>
    <row r="44" spans="2:28" x14ac:dyDescent="0.3">
      <c r="B44" s="156"/>
      <c r="C44" s="155"/>
      <c r="D44" s="155"/>
      <c r="E44" s="155"/>
      <c r="F44" s="155"/>
      <c r="G44" s="155"/>
      <c r="H44" s="155"/>
      <c r="I44" s="154"/>
      <c r="K44" s="156"/>
      <c r="L44" s="155"/>
      <c r="M44" s="155"/>
      <c r="N44" s="155"/>
      <c r="O44" s="155"/>
      <c r="P44" s="155"/>
      <c r="Q44" s="155"/>
      <c r="R44" s="155"/>
      <c r="S44" s="154"/>
      <c r="U44" s="156"/>
      <c r="V44" s="155"/>
      <c r="W44" s="155"/>
      <c r="X44" s="155"/>
      <c r="Y44" s="155"/>
      <c r="Z44" s="155"/>
      <c r="AA44" s="155"/>
      <c r="AB44" s="154"/>
    </row>
    <row r="45" spans="2:28" ht="14.55" customHeight="1" x14ac:dyDescent="0.3">
      <c r="B45" s="138"/>
      <c r="I45" s="137"/>
      <c r="K45" s="138"/>
      <c r="S45" s="137"/>
      <c r="U45" s="138"/>
      <c r="V45" s="206" t="s">
        <v>267</v>
      </c>
      <c r="W45" s="206"/>
      <c r="X45" s="206"/>
      <c r="Y45" s="206"/>
      <c r="Z45" s="206"/>
      <c r="AA45" s="206"/>
      <c r="AB45" s="153"/>
    </row>
    <row r="46" spans="2:28" x14ac:dyDescent="0.3">
      <c r="B46" s="138"/>
      <c r="I46" s="137"/>
      <c r="K46" s="138"/>
      <c r="S46" s="137"/>
      <c r="U46" s="138"/>
      <c r="V46" s="206"/>
      <c r="W46" s="206"/>
      <c r="X46" s="206"/>
      <c r="Y46" s="206"/>
      <c r="Z46" s="206"/>
      <c r="AA46" s="206"/>
      <c r="AB46" s="153"/>
    </row>
    <row r="47" spans="2:28" x14ac:dyDescent="0.3">
      <c r="B47" s="138"/>
      <c r="I47" s="137"/>
      <c r="K47" s="138"/>
      <c r="S47" s="137"/>
      <c r="U47" s="138"/>
      <c r="V47" s="206"/>
      <c r="W47" s="206"/>
      <c r="X47" s="206"/>
      <c r="Y47" s="206"/>
      <c r="Z47" s="206"/>
      <c r="AA47" s="206"/>
      <c r="AB47" s="153"/>
    </row>
    <row r="48" spans="2:28" x14ac:dyDescent="0.3">
      <c r="B48" s="138"/>
      <c r="D48" s="3" t="s">
        <v>230</v>
      </c>
      <c r="F48" s="3" t="s">
        <v>229</v>
      </c>
      <c r="I48" s="137"/>
      <c r="K48" s="138"/>
      <c r="O48" s="203" t="s">
        <v>230</v>
      </c>
      <c r="P48" s="203"/>
      <c r="R48" s="3" t="s">
        <v>229</v>
      </c>
      <c r="S48" s="137"/>
      <c r="U48" s="138"/>
      <c r="V48" s="206"/>
      <c r="W48" s="206"/>
      <c r="X48" s="206"/>
      <c r="Y48" s="206"/>
      <c r="Z48" s="206"/>
      <c r="AA48" s="206"/>
      <c r="AB48" s="153"/>
    </row>
    <row r="49" spans="2:28" ht="14.55" customHeight="1" x14ac:dyDescent="0.3">
      <c r="B49" s="138"/>
      <c r="D49" s="143">
        <v>1</v>
      </c>
      <c r="E49" s="149" t="s">
        <v>251</v>
      </c>
      <c r="F49" s="143" t="s">
        <v>227</v>
      </c>
      <c r="G49" s="148"/>
      <c r="I49" s="137"/>
      <c r="K49" s="138"/>
      <c r="M49" s="148"/>
      <c r="N49" s="148"/>
      <c r="O49" s="201">
        <v>1</v>
      </c>
      <c r="P49" s="202"/>
      <c r="Q49" s="149" t="s">
        <v>251</v>
      </c>
      <c r="R49" s="143" t="s">
        <v>227</v>
      </c>
      <c r="S49" s="137"/>
      <c r="U49" s="138"/>
      <c r="AB49" s="137"/>
    </row>
    <row r="50" spans="2:28" ht="14.55" customHeight="1" x14ac:dyDescent="0.3">
      <c r="B50" s="138"/>
      <c r="D50" s="148"/>
      <c r="E50" s="148"/>
      <c r="F50" s="148"/>
      <c r="G50" s="148"/>
      <c r="I50" s="137"/>
      <c r="K50" s="138"/>
      <c r="M50" s="148"/>
      <c r="N50" s="148"/>
      <c r="S50" s="137"/>
      <c r="U50" s="138"/>
      <c r="X50" s="82" t="s">
        <v>266</v>
      </c>
      <c r="AB50" s="137"/>
    </row>
    <row r="51" spans="2:28" ht="14.55" customHeight="1" x14ac:dyDescent="0.3">
      <c r="B51" s="138"/>
      <c r="C51" s="83" t="s">
        <v>250</v>
      </c>
      <c r="I51" s="137"/>
      <c r="K51" s="138"/>
      <c r="L51" s="83" t="s">
        <v>250</v>
      </c>
      <c r="M51" s="148"/>
      <c r="N51" s="148"/>
      <c r="S51" s="137"/>
      <c r="U51" s="138"/>
      <c r="Y51" s="7"/>
      <c r="AB51" s="137"/>
    </row>
    <row r="52" spans="2:28" ht="14.55" customHeight="1" x14ac:dyDescent="0.3">
      <c r="B52" s="138"/>
      <c r="C52" s="7" t="s">
        <v>265</v>
      </c>
      <c r="I52" s="137"/>
      <c r="K52" s="138"/>
      <c r="L52" s="7" t="s">
        <v>264</v>
      </c>
      <c r="M52" s="148"/>
      <c r="N52" s="148"/>
      <c r="S52" s="137"/>
      <c r="U52" s="138"/>
      <c r="AB52" s="137"/>
    </row>
    <row r="53" spans="2:28" ht="14.55" customHeight="1" x14ac:dyDescent="0.3">
      <c r="B53" s="138"/>
      <c r="C53" s="100" t="s">
        <v>263</v>
      </c>
      <c r="D53" s="151"/>
      <c r="E53" s="151"/>
      <c r="F53" s="151"/>
      <c r="G53" s="151"/>
      <c r="H53" s="151"/>
      <c r="I53" s="137"/>
      <c r="K53" s="138"/>
      <c r="L53" s="100" t="s">
        <v>263</v>
      </c>
      <c r="M53" s="148"/>
      <c r="N53" s="148"/>
      <c r="S53" s="137"/>
      <c r="U53" s="138"/>
      <c r="AB53" s="137"/>
    </row>
    <row r="54" spans="2:28" ht="14.55" customHeight="1" thickBot="1" x14ac:dyDescent="0.35">
      <c r="B54" s="138"/>
      <c r="C54" s="151"/>
      <c r="D54" s="151"/>
      <c r="E54" s="151"/>
      <c r="F54" s="151"/>
      <c r="G54" s="151"/>
      <c r="H54" s="151"/>
      <c r="I54" s="137"/>
      <c r="K54" s="138"/>
      <c r="M54" s="148"/>
      <c r="N54" s="148"/>
      <c r="S54" s="137"/>
      <c r="U54" s="138"/>
      <c r="X54" s="3" t="s">
        <v>230</v>
      </c>
      <c r="Y54" s="3"/>
      <c r="AA54" s="3" t="s">
        <v>229</v>
      </c>
      <c r="AB54" s="137"/>
    </row>
    <row r="55" spans="2:28" ht="14.55" customHeight="1" x14ac:dyDescent="0.3">
      <c r="B55" s="138"/>
      <c r="C55" s="152"/>
      <c r="D55" s="152"/>
      <c r="E55" s="152"/>
      <c r="F55" s="152"/>
      <c r="G55" s="152"/>
      <c r="H55" s="152"/>
      <c r="I55" s="137"/>
      <c r="K55" s="138"/>
      <c r="L55" s="152"/>
      <c r="M55" s="152"/>
      <c r="N55" s="152"/>
      <c r="O55" s="152"/>
      <c r="P55" s="152"/>
      <c r="Q55" s="152"/>
      <c r="R55" s="152"/>
      <c r="S55" s="137"/>
      <c r="U55" s="138"/>
      <c r="X55" s="143">
        <v>0</v>
      </c>
      <c r="Y55" s="224" t="s">
        <v>251</v>
      </c>
      <c r="Z55" s="225"/>
      <c r="AA55" s="143" t="s">
        <v>227</v>
      </c>
      <c r="AB55" s="137"/>
    </row>
    <row r="56" spans="2:28" ht="14.55" customHeight="1" x14ac:dyDescent="0.3">
      <c r="B56" s="138"/>
      <c r="C56" s="206" t="s">
        <v>262</v>
      </c>
      <c r="D56" s="206"/>
      <c r="E56" s="206"/>
      <c r="F56" s="206"/>
      <c r="G56" s="206"/>
      <c r="H56" s="206"/>
      <c r="I56" s="137"/>
      <c r="K56" s="138"/>
      <c r="L56" s="206" t="s">
        <v>262</v>
      </c>
      <c r="M56" s="206"/>
      <c r="N56" s="206"/>
      <c r="O56" s="206"/>
      <c r="P56" s="206"/>
      <c r="Q56" s="206"/>
      <c r="R56" s="206"/>
      <c r="S56" s="137"/>
      <c r="U56" s="138"/>
      <c r="AB56" s="137"/>
    </row>
    <row r="57" spans="2:28" ht="14.55" customHeight="1" x14ac:dyDescent="0.3">
      <c r="B57" s="138"/>
      <c r="C57" s="206"/>
      <c r="D57" s="206"/>
      <c r="E57" s="206"/>
      <c r="F57" s="206"/>
      <c r="G57" s="206"/>
      <c r="H57" s="206"/>
      <c r="I57" s="137"/>
      <c r="K57" s="138"/>
      <c r="L57" s="206"/>
      <c r="M57" s="206"/>
      <c r="N57" s="206"/>
      <c r="O57" s="206"/>
      <c r="P57" s="206"/>
      <c r="Q57" s="206"/>
      <c r="R57" s="206"/>
      <c r="S57" s="137"/>
      <c r="U57" s="138"/>
      <c r="V57" s="83" t="s">
        <v>250</v>
      </c>
      <c r="AB57" s="137"/>
    </row>
    <row r="58" spans="2:28" ht="14.55" customHeight="1" x14ac:dyDescent="0.3">
      <c r="B58" s="138"/>
      <c r="C58" s="206"/>
      <c r="D58" s="206"/>
      <c r="E58" s="206"/>
      <c r="F58" s="206"/>
      <c r="G58" s="206"/>
      <c r="H58" s="206"/>
      <c r="I58" s="137"/>
      <c r="K58" s="138"/>
      <c r="L58" s="206"/>
      <c r="M58" s="206"/>
      <c r="N58" s="206"/>
      <c r="O58" s="206"/>
      <c r="P58" s="206"/>
      <c r="Q58" s="206"/>
      <c r="R58" s="206"/>
      <c r="S58" s="137"/>
      <c r="U58" s="138"/>
      <c r="V58" s="100" t="s">
        <v>261</v>
      </c>
      <c r="AB58" s="137"/>
    </row>
    <row r="59" spans="2:28" ht="14.55" customHeight="1" x14ac:dyDescent="0.3">
      <c r="B59" s="138"/>
      <c r="C59" s="206"/>
      <c r="D59" s="206"/>
      <c r="E59" s="206"/>
      <c r="F59" s="206"/>
      <c r="G59" s="206"/>
      <c r="H59" s="206"/>
      <c r="I59" s="137"/>
      <c r="K59" s="138"/>
      <c r="L59" s="206"/>
      <c r="M59" s="206"/>
      <c r="N59" s="206"/>
      <c r="O59" s="206"/>
      <c r="P59" s="206"/>
      <c r="Q59" s="206"/>
      <c r="R59" s="206"/>
      <c r="S59" s="137"/>
      <c r="U59" s="138"/>
      <c r="AB59" s="137"/>
    </row>
    <row r="60" spans="2:28" ht="14.55" customHeight="1" thickBot="1" x14ac:dyDescent="0.35">
      <c r="B60" s="138"/>
      <c r="C60" s="151"/>
      <c r="D60" s="151"/>
      <c r="E60" s="151"/>
      <c r="F60" s="151"/>
      <c r="G60" s="151"/>
      <c r="H60" s="151"/>
      <c r="I60" s="137"/>
      <c r="K60" s="138"/>
      <c r="L60" s="151"/>
      <c r="M60" s="151"/>
      <c r="N60" s="151"/>
      <c r="O60" s="151"/>
      <c r="P60" s="151"/>
      <c r="Q60" s="151"/>
      <c r="R60" s="151"/>
      <c r="S60" s="137"/>
      <c r="U60" s="138"/>
      <c r="AB60" s="137"/>
    </row>
    <row r="61" spans="2:28" ht="14.55" customHeight="1" x14ac:dyDescent="0.3">
      <c r="B61" s="138"/>
      <c r="C61" s="151"/>
      <c r="D61" s="151"/>
      <c r="E61" s="151"/>
      <c r="F61" s="151"/>
      <c r="G61" s="151"/>
      <c r="H61" s="151"/>
      <c r="I61" s="137"/>
      <c r="K61" s="138"/>
      <c r="L61" s="151"/>
      <c r="M61" s="151"/>
      <c r="N61" s="151"/>
      <c r="O61" s="151"/>
      <c r="P61" s="151"/>
      <c r="Q61" s="151"/>
      <c r="R61" s="151"/>
      <c r="S61" s="137"/>
      <c r="U61" s="138"/>
      <c r="V61" s="152"/>
      <c r="W61" s="152"/>
      <c r="X61" s="152"/>
      <c r="Y61" s="152"/>
      <c r="Z61" s="152"/>
      <c r="AA61" s="152"/>
      <c r="AB61" s="137"/>
    </row>
    <row r="62" spans="2:28" ht="14.55" customHeight="1" x14ac:dyDescent="0.3">
      <c r="B62" s="138"/>
      <c r="C62" s="151"/>
      <c r="D62" s="151"/>
      <c r="E62" s="151"/>
      <c r="F62" s="151"/>
      <c r="G62" s="151"/>
      <c r="H62" s="151"/>
      <c r="I62" s="137"/>
      <c r="K62" s="138"/>
      <c r="L62" s="151"/>
      <c r="M62" s="151"/>
      <c r="N62" s="151"/>
      <c r="O62" s="151"/>
      <c r="P62" s="151"/>
      <c r="Q62" s="151"/>
      <c r="R62" s="151"/>
      <c r="S62" s="137"/>
      <c r="U62" s="138"/>
      <c r="AB62" s="137"/>
    </row>
    <row r="63" spans="2:28" ht="14.55" customHeight="1" x14ac:dyDescent="0.3">
      <c r="B63" s="138"/>
      <c r="C63" s="208" t="s">
        <v>260</v>
      </c>
      <c r="D63" s="208"/>
      <c r="E63" s="208"/>
      <c r="F63" s="208"/>
      <c r="G63" s="208"/>
      <c r="H63" s="208"/>
      <c r="I63" s="137"/>
      <c r="K63" s="138"/>
      <c r="L63" s="208" t="s">
        <v>260</v>
      </c>
      <c r="M63" s="208"/>
      <c r="N63" s="208"/>
      <c r="O63" s="208"/>
      <c r="P63" s="208"/>
      <c r="Q63" s="208"/>
      <c r="R63" s="208"/>
      <c r="S63" s="137"/>
      <c r="U63" s="138"/>
      <c r="V63" s="206" t="s">
        <v>259</v>
      </c>
      <c r="W63" s="206"/>
      <c r="X63" s="206"/>
      <c r="Y63" s="206"/>
      <c r="Z63" s="206"/>
      <c r="AA63" s="206"/>
      <c r="AB63" s="150"/>
    </row>
    <row r="64" spans="2:28" x14ac:dyDescent="0.3">
      <c r="B64" s="138"/>
      <c r="C64" s="208"/>
      <c r="D64" s="208"/>
      <c r="E64" s="208"/>
      <c r="F64" s="208"/>
      <c r="G64" s="208"/>
      <c r="H64" s="208"/>
      <c r="I64" s="137"/>
      <c r="K64" s="138"/>
      <c r="L64" s="208"/>
      <c r="M64" s="208"/>
      <c r="N64" s="208"/>
      <c r="O64" s="208"/>
      <c r="P64" s="208"/>
      <c r="Q64" s="208"/>
      <c r="R64" s="208"/>
      <c r="S64" s="137"/>
      <c r="U64" s="138"/>
      <c r="V64" s="206"/>
      <c r="W64" s="206"/>
      <c r="X64" s="206"/>
      <c r="Y64" s="206"/>
      <c r="Z64" s="206"/>
      <c r="AA64" s="206"/>
      <c r="AB64" s="150"/>
    </row>
    <row r="65" spans="2:28" ht="14.55" customHeight="1" x14ac:dyDescent="0.3">
      <c r="B65" s="138"/>
      <c r="C65" s="209" t="s">
        <v>258</v>
      </c>
      <c r="D65" s="209"/>
      <c r="E65" s="209"/>
      <c r="F65" s="209"/>
      <c r="G65" s="209"/>
      <c r="H65" s="209"/>
      <c r="I65" s="137"/>
      <c r="K65" s="138"/>
      <c r="L65" s="209" t="s">
        <v>258</v>
      </c>
      <c r="M65" s="209"/>
      <c r="N65" s="209"/>
      <c r="O65" s="209"/>
      <c r="P65" s="209"/>
      <c r="Q65" s="209"/>
      <c r="R65" s="209"/>
      <c r="S65" s="137"/>
      <c r="U65" s="138"/>
      <c r="V65" s="206"/>
      <c r="W65" s="206"/>
      <c r="X65" s="206"/>
      <c r="Y65" s="206"/>
      <c r="Z65" s="206"/>
      <c r="AA65" s="206"/>
      <c r="AB65" s="150"/>
    </row>
    <row r="66" spans="2:28" ht="14.55" customHeight="1" x14ac:dyDescent="0.3">
      <c r="B66" s="138"/>
      <c r="C66" s="209"/>
      <c r="D66" s="209"/>
      <c r="E66" s="209"/>
      <c r="F66" s="209"/>
      <c r="G66" s="209"/>
      <c r="H66" s="209"/>
      <c r="I66" s="137"/>
      <c r="K66" s="138"/>
      <c r="L66" s="209"/>
      <c r="M66" s="209"/>
      <c r="N66" s="209"/>
      <c r="O66" s="209"/>
      <c r="P66" s="209"/>
      <c r="Q66" s="209"/>
      <c r="R66" s="209"/>
      <c r="S66" s="137"/>
      <c r="U66" s="138"/>
      <c r="V66" s="206"/>
      <c r="W66" s="206"/>
      <c r="X66" s="206"/>
      <c r="Y66" s="206"/>
      <c r="Z66" s="206"/>
      <c r="AA66" s="206"/>
      <c r="AB66" s="150"/>
    </row>
    <row r="67" spans="2:28" ht="14.55" customHeight="1" x14ac:dyDescent="0.3">
      <c r="B67" s="138"/>
      <c r="C67" s="209"/>
      <c r="D67" s="209"/>
      <c r="E67" s="209"/>
      <c r="F67" s="209"/>
      <c r="G67" s="209"/>
      <c r="H67" s="209"/>
      <c r="I67" s="137"/>
      <c r="K67" s="138"/>
      <c r="L67" s="209"/>
      <c r="M67" s="209"/>
      <c r="N67" s="209"/>
      <c r="O67" s="209"/>
      <c r="P67" s="209"/>
      <c r="Q67" s="209"/>
      <c r="R67" s="209"/>
      <c r="S67" s="137"/>
      <c r="U67" s="138"/>
      <c r="AB67" s="150"/>
    </row>
    <row r="68" spans="2:28" ht="14.55" customHeight="1" x14ac:dyDescent="0.3">
      <c r="B68" s="138"/>
      <c r="D68" s="139"/>
      <c r="E68" s="139"/>
      <c r="F68" s="139"/>
      <c r="G68" s="139"/>
      <c r="I68" s="137"/>
      <c r="K68" s="138"/>
      <c r="M68" s="139"/>
      <c r="N68" s="139"/>
      <c r="O68" s="139"/>
      <c r="P68" s="139"/>
      <c r="S68" s="137"/>
      <c r="U68" s="138"/>
      <c r="X68" s="82" t="s">
        <v>257</v>
      </c>
      <c r="AB68" s="150"/>
    </row>
    <row r="69" spans="2:28" ht="14.55" customHeight="1" x14ac:dyDescent="0.3">
      <c r="B69" s="138"/>
      <c r="C69" s="145" t="s">
        <v>256</v>
      </c>
      <c r="D69" s="139"/>
      <c r="E69" s="139"/>
      <c r="F69" s="139"/>
      <c r="G69" s="139"/>
      <c r="I69" s="137"/>
      <c r="K69" s="138"/>
      <c r="L69" s="145" t="s">
        <v>256</v>
      </c>
      <c r="M69" s="139"/>
      <c r="N69" s="139"/>
      <c r="O69" s="139"/>
      <c r="P69" s="139"/>
      <c r="S69" s="137"/>
      <c r="U69" s="138"/>
      <c r="AB69" s="150"/>
    </row>
    <row r="70" spans="2:28" ht="14.55" customHeight="1" x14ac:dyDescent="0.3">
      <c r="B70" s="138"/>
      <c r="C70" s="194" t="s">
        <v>255</v>
      </c>
      <c r="D70" s="194"/>
      <c r="E70" s="194"/>
      <c r="F70" s="194"/>
      <c r="G70" s="194"/>
      <c r="I70" s="137"/>
      <c r="K70" s="138"/>
      <c r="L70" s="194" t="s">
        <v>255</v>
      </c>
      <c r="M70" s="194"/>
      <c r="N70" s="194"/>
      <c r="O70" s="194"/>
      <c r="P70" s="194"/>
      <c r="Q70" s="194"/>
      <c r="S70" s="137"/>
      <c r="U70" s="138"/>
      <c r="AB70" s="150"/>
    </row>
    <row r="71" spans="2:28" ht="14.55" customHeight="1" x14ac:dyDescent="0.3">
      <c r="B71" s="138"/>
      <c r="C71" s="194"/>
      <c r="D71" s="194"/>
      <c r="E71" s="194"/>
      <c r="F71" s="194"/>
      <c r="G71" s="194"/>
      <c r="I71" s="137"/>
      <c r="K71" s="138"/>
      <c r="L71" s="194"/>
      <c r="M71" s="194"/>
      <c r="N71" s="194"/>
      <c r="O71" s="194"/>
      <c r="P71" s="194"/>
      <c r="Q71" s="194"/>
      <c r="S71" s="137"/>
      <c r="U71" s="138"/>
      <c r="AB71" s="150"/>
    </row>
    <row r="72" spans="2:28" ht="14.55" customHeight="1" x14ac:dyDescent="0.3">
      <c r="B72" s="138"/>
      <c r="D72" s="139"/>
      <c r="E72" s="139"/>
      <c r="F72" s="139"/>
      <c r="G72" s="139"/>
      <c r="I72" s="137"/>
      <c r="K72" s="138"/>
      <c r="M72" s="139"/>
      <c r="N72" s="139"/>
      <c r="O72" s="139"/>
      <c r="P72" s="139"/>
      <c r="S72" s="137"/>
      <c r="U72" s="138"/>
      <c r="W72" s="148"/>
      <c r="X72" s="3" t="s">
        <v>230</v>
      </c>
      <c r="Y72" s="3"/>
      <c r="AA72" s="3" t="s">
        <v>229</v>
      </c>
      <c r="AB72" s="150"/>
    </row>
    <row r="73" spans="2:28" ht="14.55" customHeight="1" x14ac:dyDescent="0.3">
      <c r="B73" s="138"/>
      <c r="C73" s="145" t="s">
        <v>254</v>
      </c>
      <c r="D73" s="139"/>
      <c r="E73" s="139"/>
      <c r="F73" s="139"/>
      <c r="G73" s="139"/>
      <c r="I73" s="137"/>
      <c r="K73" s="138"/>
      <c r="L73" s="145" t="s">
        <v>254</v>
      </c>
      <c r="M73" s="139"/>
      <c r="N73" s="139"/>
      <c r="O73" s="139"/>
      <c r="P73" s="139"/>
      <c r="S73" s="137"/>
      <c r="U73" s="138"/>
      <c r="V73" s="148"/>
      <c r="W73" s="148"/>
      <c r="X73" s="143">
        <v>0</v>
      </c>
      <c r="Y73" s="224" t="s">
        <v>251</v>
      </c>
      <c r="Z73" s="225"/>
      <c r="AA73" s="143" t="s">
        <v>227</v>
      </c>
      <c r="AB73" s="150"/>
    </row>
    <row r="74" spans="2:28" ht="14.55" customHeight="1" x14ac:dyDescent="0.3">
      <c r="B74" s="138"/>
      <c r="C74" s="2" t="s">
        <v>253</v>
      </c>
      <c r="D74" s="139"/>
      <c r="E74" s="139"/>
      <c r="F74" s="139"/>
      <c r="G74" s="139"/>
      <c r="I74" s="137"/>
      <c r="K74" s="138"/>
      <c r="L74" s="2" t="s">
        <v>253</v>
      </c>
      <c r="M74" s="139"/>
      <c r="N74" s="139"/>
      <c r="O74" s="139"/>
      <c r="P74" s="139"/>
      <c r="Q74" s="139"/>
      <c r="S74" s="137"/>
      <c r="U74" s="138"/>
      <c r="AB74" s="137"/>
    </row>
    <row r="75" spans="2:28" x14ac:dyDescent="0.3">
      <c r="B75" s="138"/>
      <c r="C75" s="139"/>
      <c r="D75" s="139"/>
      <c r="E75" s="139"/>
      <c r="F75" s="139"/>
      <c r="G75" s="139"/>
      <c r="I75" s="137"/>
      <c r="K75" s="138"/>
      <c r="L75" s="139"/>
      <c r="M75" s="139"/>
      <c r="N75" s="139"/>
      <c r="O75" s="139"/>
      <c r="P75" s="139"/>
      <c r="Q75" s="139"/>
      <c r="S75" s="137"/>
      <c r="U75" s="138"/>
      <c r="V75" s="83" t="s">
        <v>250</v>
      </c>
      <c r="W75" s="148"/>
      <c r="AB75" s="137"/>
    </row>
    <row r="76" spans="2:28" x14ac:dyDescent="0.3">
      <c r="B76" s="138"/>
      <c r="I76" s="137"/>
      <c r="K76" s="138"/>
      <c r="S76" s="137"/>
      <c r="U76" s="138"/>
      <c r="V76" s="100" t="s">
        <v>252</v>
      </c>
      <c r="W76" s="148"/>
      <c r="AB76" s="137"/>
    </row>
    <row r="77" spans="2:28" ht="14.55" customHeight="1" x14ac:dyDescent="0.3">
      <c r="B77" s="138"/>
      <c r="I77" s="137"/>
      <c r="K77" s="138"/>
      <c r="S77" s="137"/>
      <c r="U77" s="138"/>
      <c r="W77" s="148"/>
      <c r="AB77" s="137"/>
    </row>
    <row r="78" spans="2:28" ht="14.55" customHeight="1" x14ac:dyDescent="0.3">
      <c r="B78" s="138"/>
      <c r="I78" s="137"/>
      <c r="K78" s="138"/>
      <c r="S78" s="137"/>
      <c r="U78" s="138"/>
      <c r="V78" s="148"/>
      <c r="W78" s="148"/>
      <c r="AB78" s="137"/>
    </row>
    <row r="79" spans="2:28" x14ac:dyDescent="0.3">
      <c r="B79" s="138"/>
      <c r="D79" s="3" t="s">
        <v>230</v>
      </c>
      <c r="F79" s="3" t="s">
        <v>229</v>
      </c>
      <c r="I79" s="137"/>
      <c r="K79" s="138"/>
      <c r="O79" s="203" t="s">
        <v>230</v>
      </c>
      <c r="P79" s="203"/>
      <c r="R79" s="3" t="s">
        <v>229</v>
      </c>
      <c r="S79" s="137"/>
      <c r="U79" s="138"/>
      <c r="V79" s="148"/>
      <c r="X79" s="148"/>
      <c r="Y79" s="148"/>
      <c r="Z79" s="148"/>
      <c r="AA79" s="148"/>
      <c r="AB79" s="137"/>
    </row>
    <row r="80" spans="2:28" x14ac:dyDescent="0.3">
      <c r="B80" s="138"/>
      <c r="D80" s="143">
        <v>1</v>
      </c>
      <c r="E80" s="149" t="s">
        <v>251</v>
      </c>
      <c r="F80" s="143" t="s">
        <v>227</v>
      </c>
      <c r="I80" s="137"/>
      <c r="K80" s="138"/>
      <c r="O80" s="207">
        <v>1</v>
      </c>
      <c r="P80" s="207"/>
      <c r="Q80" s="149" t="s">
        <v>251</v>
      </c>
      <c r="R80" s="143" t="s">
        <v>227</v>
      </c>
      <c r="S80" s="137"/>
      <c r="U80" s="138"/>
      <c r="AB80" s="137"/>
    </row>
    <row r="81" spans="2:28" x14ac:dyDescent="0.3">
      <c r="B81" s="138"/>
      <c r="I81" s="137"/>
      <c r="K81" s="138"/>
      <c r="S81" s="137"/>
      <c r="U81" s="138"/>
      <c r="AB81" s="137"/>
    </row>
    <row r="82" spans="2:28" ht="14.55" customHeight="1" x14ac:dyDescent="0.3">
      <c r="B82" s="138"/>
      <c r="C82" s="148" t="s">
        <v>250</v>
      </c>
      <c r="I82" s="137"/>
      <c r="K82" s="138"/>
      <c r="L82" s="148" t="s">
        <v>250</v>
      </c>
      <c r="M82" s="148"/>
      <c r="N82" s="148"/>
      <c r="O82" s="148"/>
      <c r="P82" s="148"/>
      <c r="Q82" s="148"/>
      <c r="R82" s="148"/>
      <c r="S82" s="137"/>
      <c r="U82" s="138"/>
      <c r="AB82" s="137"/>
    </row>
    <row r="83" spans="2:28" ht="14.55" customHeight="1" x14ac:dyDescent="0.3">
      <c r="B83" s="138"/>
      <c r="C83" s="7" t="s">
        <v>249</v>
      </c>
      <c r="I83" s="137"/>
      <c r="K83" s="138"/>
      <c r="L83" s="7" t="s">
        <v>249</v>
      </c>
      <c r="M83" s="146"/>
      <c r="N83" s="146"/>
      <c r="O83" s="146"/>
      <c r="P83" s="146"/>
      <c r="Q83" s="146"/>
      <c r="R83" s="146"/>
      <c r="S83" s="137"/>
      <c r="U83" s="138"/>
      <c r="AB83" s="137"/>
    </row>
    <row r="84" spans="2:28" ht="14.55" customHeight="1" x14ac:dyDescent="0.3">
      <c r="B84" s="138"/>
      <c r="C84" s="7" t="s">
        <v>248</v>
      </c>
      <c r="I84" s="137"/>
      <c r="K84" s="138"/>
      <c r="L84" s="7" t="s">
        <v>248</v>
      </c>
      <c r="M84" s="146"/>
      <c r="N84" s="146"/>
      <c r="O84" s="146"/>
      <c r="P84" s="146"/>
      <c r="Q84" s="146"/>
      <c r="R84" s="146"/>
      <c r="S84" s="137"/>
      <c r="U84" s="138"/>
      <c r="AB84" s="137"/>
    </row>
    <row r="85" spans="2:28" ht="14.55" customHeight="1" x14ac:dyDescent="0.3">
      <c r="B85" s="138"/>
      <c r="C85" s="147" t="s">
        <v>247</v>
      </c>
      <c r="I85" s="137"/>
      <c r="K85" s="138"/>
      <c r="L85" s="147" t="s">
        <v>247</v>
      </c>
      <c r="M85" s="146"/>
      <c r="N85" s="146"/>
      <c r="O85" s="146"/>
      <c r="P85" s="146"/>
      <c r="Q85" s="146"/>
      <c r="R85" s="146"/>
      <c r="S85" s="137"/>
      <c r="U85" s="138"/>
      <c r="AB85" s="137"/>
    </row>
    <row r="86" spans="2:28" ht="8.5500000000000007" customHeight="1" x14ac:dyDescent="0.3">
      <c r="B86" s="138"/>
      <c r="I86" s="137"/>
      <c r="K86" s="138"/>
      <c r="S86" s="137"/>
      <c r="U86" s="138"/>
      <c r="AB86" s="137"/>
    </row>
    <row r="87" spans="2:28" ht="14.55" customHeight="1" x14ac:dyDescent="0.3">
      <c r="B87" s="138"/>
      <c r="C87" s="205" t="s">
        <v>246</v>
      </c>
      <c r="D87" s="205"/>
      <c r="E87" s="205"/>
      <c r="F87" s="205"/>
      <c r="G87" s="205"/>
      <c r="H87" s="205"/>
      <c r="I87" s="137"/>
      <c r="K87" s="138"/>
      <c r="L87" s="205" t="s">
        <v>246</v>
      </c>
      <c r="M87" s="205"/>
      <c r="N87" s="205"/>
      <c r="O87" s="205"/>
      <c r="P87" s="205"/>
      <c r="Q87" s="205"/>
      <c r="R87" s="146"/>
      <c r="S87" s="137"/>
      <c r="U87" s="138"/>
      <c r="AB87" s="137"/>
    </row>
    <row r="88" spans="2:28" ht="14.55" customHeight="1" x14ac:dyDescent="0.3">
      <c r="B88" s="138"/>
      <c r="C88" s="205"/>
      <c r="D88" s="205"/>
      <c r="E88" s="205"/>
      <c r="F88" s="205"/>
      <c r="G88" s="205"/>
      <c r="H88" s="205"/>
      <c r="I88" s="137"/>
      <c r="K88" s="138"/>
      <c r="L88" s="205"/>
      <c r="M88" s="205"/>
      <c r="N88" s="205"/>
      <c r="O88" s="205"/>
      <c r="P88" s="205"/>
      <c r="Q88" s="205"/>
      <c r="R88" s="146"/>
      <c r="S88" s="137"/>
      <c r="U88" s="138"/>
      <c r="AB88" s="137"/>
    </row>
    <row r="89" spans="2:28" ht="14.55" customHeight="1" x14ac:dyDescent="0.3">
      <c r="B89" s="138"/>
      <c r="C89" s="205"/>
      <c r="D89" s="205"/>
      <c r="E89" s="205"/>
      <c r="F89" s="205"/>
      <c r="G89" s="205"/>
      <c r="H89" s="205"/>
      <c r="I89" s="137"/>
      <c r="K89" s="138"/>
      <c r="L89" s="205"/>
      <c r="M89" s="205"/>
      <c r="N89" s="205"/>
      <c r="O89" s="205"/>
      <c r="P89" s="205"/>
      <c r="Q89" s="205"/>
      <c r="R89" s="146"/>
      <c r="S89" s="137"/>
      <c r="U89" s="138"/>
      <c r="AB89" s="137"/>
    </row>
    <row r="90" spans="2:28" ht="15" thickBot="1" x14ac:dyDescent="0.35">
      <c r="B90" s="138"/>
      <c r="C90" s="83"/>
      <c r="D90" s="83"/>
      <c r="E90" s="83"/>
      <c r="F90" s="83"/>
      <c r="G90" s="83"/>
      <c r="I90" s="137"/>
      <c r="K90" s="138"/>
      <c r="M90" s="83"/>
      <c r="N90" s="83"/>
      <c r="O90" s="83"/>
      <c r="P90" s="83"/>
      <c r="Q90" s="83"/>
      <c r="S90" s="137"/>
      <c r="U90" s="136"/>
      <c r="V90" s="135"/>
      <c r="W90" s="135"/>
      <c r="X90" s="135"/>
      <c r="Y90" s="135"/>
      <c r="Z90" s="135"/>
      <c r="AA90" s="135"/>
      <c r="AB90" s="134"/>
    </row>
    <row r="91" spans="2:28" ht="15" thickTop="1" x14ac:dyDescent="0.3">
      <c r="B91" s="210" t="s">
        <v>245</v>
      </c>
      <c r="C91" s="211"/>
      <c r="D91" s="211"/>
      <c r="E91" s="211"/>
      <c r="F91" s="211"/>
      <c r="G91" s="211"/>
      <c r="H91" s="211"/>
      <c r="I91" s="212"/>
      <c r="K91" s="210" t="s">
        <v>245</v>
      </c>
      <c r="L91" s="211"/>
      <c r="M91" s="211"/>
      <c r="N91" s="211"/>
      <c r="O91" s="211"/>
      <c r="P91" s="211"/>
      <c r="Q91" s="211"/>
      <c r="R91" s="211"/>
      <c r="S91" s="212"/>
      <c r="U91" s="210" t="s">
        <v>245</v>
      </c>
      <c r="V91" s="211"/>
      <c r="W91" s="211"/>
      <c r="X91" s="211"/>
      <c r="Y91" s="211"/>
      <c r="Z91" s="211"/>
      <c r="AA91" s="211"/>
      <c r="AB91" s="212"/>
    </row>
    <row r="92" spans="2:28" x14ac:dyDescent="0.3">
      <c r="B92" s="213"/>
      <c r="C92" s="214"/>
      <c r="D92" s="214"/>
      <c r="E92" s="214"/>
      <c r="F92" s="214"/>
      <c r="G92" s="214"/>
      <c r="H92" s="214"/>
      <c r="I92" s="215"/>
      <c r="K92" s="213"/>
      <c r="L92" s="214"/>
      <c r="M92" s="214"/>
      <c r="N92" s="214"/>
      <c r="O92" s="214"/>
      <c r="P92" s="214"/>
      <c r="Q92" s="214"/>
      <c r="R92" s="214"/>
      <c r="S92" s="215"/>
      <c r="U92" s="213"/>
      <c r="V92" s="214"/>
      <c r="W92" s="214"/>
      <c r="X92" s="214"/>
      <c r="Y92" s="214"/>
      <c r="Z92" s="214"/>
      <c r="AA92" s="214"/>
      <c r="AB92" s="215"/>
    </row>
    <row r="93" spans="2:28" ht="15" thickBot="1" x14ac:dyDescent="0.35">
      <c r="B93" s="216"/>
      <c r="C93" s="217"/>
      <c r="D93" s="217"/>
      <c r="E93" s="217"/>
      <c r="F93" s="217"/>
      <c r="G93" s="217"/>
      <c r="H93" s="217"/>
      <c r="I93" s="218"/>
      <c r="K93" s="216"/>
      <c r="L93" s="217"/>
      <c r="M93" s="217"/>
      <c r="N93" s="217"/>
      <c r="O93" s="217"/>
      <c r="P93" s="217"/>
      <c r="Q93" s="217"/>
      <c r="R93" s="217"/>
      <c r="S93" s="218"/>
      <c r="U93" s="216"/>
      <c r="V93" s="217"/>
      <c r="W93" s="217"/>
      <c r="X93" s="217"/>
      <c r="Y93" s="217"/>
      <c r="Z93" s="217"/>
      <c r="AA93" s="217"/>
      <c r="AB93" s="218"/>
    </row>
    <row r="94" spans="2:28" ht="15" thickTop="1" x14ac:dyDescent="0.3"/>
    <row r="97" spans="2:28" ht="14.55" customHeight="1" x14ac:dyDescent="0.3">
      <c r="B97" s="145" t="s">
        <v>244</v>
      </c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</row>
    <row r="98" spans="2:28" ht="8.5500000000000007" customHeight="1" x14ac:dyDescent="0.3"/>
    <row r="99" spans="2:28" x14ac:dyDescent="0.3">
      <c r="B99" s="132" t="s">
        <v>243</v>
      </c>
    </row>
    <row r="100" spans="2:28" x14ac:dyDescent="0.3">
      <c r="B100" s="132" t="s">
        <v>242</v>
      </c>
    </row>
    <row r="101" spans="2:28" ht="8.5500000000000007" customHeight="1" x14ac:dyDescent="0.3"/>
    <row r="102" spans="2:28" x14ac:dyDescent="0.3">
      <c r="B102" s="229" t="s">
        <v>167</v>
      </c>
      <c r="C102" s="229"/>
      <c r="D102" s="229"/>
      <c r="E102" s="229"/>
      <c r="F102" s="229"/>
      <c r="G102" s="229"/>
      <c r="H102" s="229"/>
      <c r="I102" s="229"/>
      <c r="K102" s="229" t="s">
        <v>167</v>
      </c>
      <c r="L102" s="229"/>
      <c r="M102" s="229"/>
      <c r="N102" s="229"/>
      <c r="O102" s="229"/>
      <c r="P102" s="229"/>
      <c r="Q102" s="229"/>
      <c r="R102" s="229"/>
      <c r="S102" s="229"/>
      <c r="U102" s="229" t="s">
        <v>167</v>
      </c>
      <c r="V102" s="229"/>
      <c r="W102" s="229"/>
      <c r="X102" s="229"/>
      <c r="Y102" s="229"/>
      <c r="Z102" s="229"/>
      <c r="AA102" s="229"/>
      <c r="AB102" s="230"/>
    </row>
    <row r="103" spans="2:28" x14ac:dyDescent="0.3">
      <c r="B103" s="229"/>
      <c r="C103" s="229"/>
      <c r="D103" s="229"/>
      <c r="E103" s="229"/>
      <c r="F103" s="229"/>
      <c r="G103" s="229"/>
      <c r="H103" s="229"/>
      <c r="I103" s="229"/>
      <c r="K103" s="229"/>
      <c r="L103" s="229"/>
      <c r="M103" s="229"/>
      <c r="N103" s="229"/>
      <c r="O103" s="229"/>
      <c r="P103" s="229"/>
      <c r="Q103" s="229"/>
      <c r="R103" s="229"/>
      <c r="S103" s="229"/>
      <c r="U103" s="229"/>
      <c r="V103" s="229"/>
      <c r="W103" s="229"/>
      <c r="X103" s="229"/>
      <c r="Y103" s="229"/>
      <c r="Z103" s="229"/>
      <c r="AA103" s="229"/>
      <c r="AB103" s="230"/>
    </row>
    <row r="104" spans="2:28" ht="8.5500000000000007" customHeight="1" x14ac:dyDescent="0.3"/>
    <row r="105" spans="2:28" x14ac:dyDescent="0.3">
      <c r="B105" s="219" t="s">
        <v>168</v>
      </c>
      <c r="C105" s="220"/>
      <c r="D105" s="219" t="s">
        <v>170</v>
      </c>
      <c r="E105" s="220"/>
      <c r="F105" s="219" t="s">
        <v>241</v>
      </c>
      <c r="G105" s="223"/>
      <c r="H105" s="223"/>
      <c r="I105" s="220"/>
      <c r="K105" s="219" t="s">
        <v>168</v>
      </c>
      <c r="L105" s="223"/>
      <c r="M105" s="220"/>
      <c r="N105" s="219" t="s">
        <v>170</v>
      </c>
      <c r="O105" s="223"/>
      <c r="P105" s="223"/>
      <c r="Q105" s="220"/>
      <c r="R105" s="219" t="s">
        <v>241</v>
      </c>
      <c r="S105" s="220"/>
      <c r="U105" s="219" t="s">
        <v>168</v>
      </c>
      <c r="V105" s="223"/>
      <c r="W105" s="220"/>
      <c r="X105" s="219" t="s">
        <v>170</v>
      </c>
      <c r="Y105" s="223"/>
      <c r="Z105" s="220"/>
      <c r="AA105" s="219" t="s">
        <v>241</v>
      </c>
      <c r="AB105" s="220"/>
    </row>
    <row r="106" spans="2:28" x14ac:dyDescent="0.3">
      <c r="B106" s="221"/>
      <c r="C106" s="222"/>
      <c r="D106" s="221"/>
      <c r="E106" s="222"/>
      <c r="F106" s="221"/>
      <c r="G106" s="203"/>
      <c r="H106" s="203"/>
      <c r="I106" s="222"/>
      <c r="K106" s="221"/>
      <c r="L106" s="203"/>
      <c r="M106" s="222"/>
      <c r="N106" s="221"/>
      <c r="O106" s="203"/>
      <c r="P106" s="203"/>
      <c r="Q106" s="222"/>
      <c r="R106" s="221"/>
      <c r="S106" s="222"/>
      <c r="U106" s="221"/>
      <c r="V106" s="203"/>
      <c r="W106" s="222"/>
      <c r="X106" s="221"/>
      <c r="Y106" s="203"/>
      <c r="Z106" s="222"/>
      <c r="AA106" s="221"/>
      <c r="AB106" s="222"/>
    </row>
    <row r="114" spans="2:28" x14ac:dyDescent="0.3">
      <c r="B114" s="132" t="s">
        <v>240</v>
      </c>
    </row>
    <row r="115" spans="2:28" ht="8.5500000000000007" customHeight="1" thickBot="1" x14ac:dyDescent="0.35"/>
    <row r="116" spans="2:28" ht="15" customHeight="1" thickTop="1" x14ac:dyDescent="0.3">
      <c r="B116" s="210" t="s">
        <v>239</v>
      </c>
      <c r="C116" s="211"/>
      <c r="D116" s="211"/>
      <c r="E116" s="211"/>
      <c r="F116" s="211"/>
      <c r="G116" s="211"/>
      <c r="H116" s="211"/>
      <c r="I116" s="212"/>
      <c r="K116" s="210" t="s">
        <v>239</v>
      </c>
      <c r="L116" s="211"/>
      <c r="M116" s="211"/>
      <c r="N116" s="211"/>
      <c r="O116" s="211"/>
      <c r="P116" s="211"/>
      <c r="Q116" s="211"/>
      <c r="R116" s="211"/>
      <c r="S116" s="212"/>
      <c r="U116" s="210" t="s">
        <v>239</v>
      </c>
      <c r="V116" s="211"/>
      <c r="W116" s="211"/>
      <c r="X116" s="211"/>
      <c r="Y116" s="211"/>
      <c r="Z116" s="211"/>
      <c r="AA116" s="211"/>
      <c r="AB116" s="212"/>
    </row>
    <row r="117" spans="2:28" ht="15" customHeight="1" x14ac:dyDescent="0.3">
      <c r="B117" s="213"/>
      <c r="C117" s="214"/>
      <c r="D117" s="214"/>
      <c r="E117" s="214"/>
      <c r="F117" s="214"/>
      <c r="G117" s="214"/>
      <c r="H117" s="214"/>
      <c r="I117" s="215"/>
      <c r="K117" s="213"/>
      <c r="L117" s="214"/>
      <c r="M117" s="214"/>
      <c r="N117" s="214"/>
      <c r="O117" s="214"/>
      <c r="P117" s="214"/>
      <c r="Q117" s="214"/>
      <c r="R117" s="214"/>
      <c r="S117" s="215"/>
      <c r="U117" s="213"/>
      <c r="V117" s="214"/>
      <c r="W117" s="214"/>
      <c r="X117" s="214"/>
      <c r="Y117" s="214"/>
      <c r="Z117" s="214"/>
      <c r="AA117" s="214"/>
      <c r="AB117" s="215"/>
    </row>
    <row r="118" spans="2:28" ht="15" customHeight="1" thickBot="1" x14ac:dyDescent="0.35">
      <c r="B118" s="216"/>
      <c r="C118" s="217"/>
      <c r="D118" s="217"/>
      <c r="E118" s="217"/>
      <c r="F118" s="217"/>
      <c r="G118" s="217"/>
      <c r="H118" s="217"/>
      <c r="I118" s="218"/>
      <c r="K118" s="216"/>
      <c r="L118" s="217"/>
      <c r="M118" s="217"/>
      <c r="N118" s="217"/>
      <c r="O118" s="217"/>
      <c r="P118" s="217"/>
      <c r="Q118" s="217"/>
      <c r="R118" s="217"/>
      <c r="S118" s="218"/>
      <c r="U118" s="216"/>
      <c r="V118" s="217"/>
      <c r="W118" s="217"/>
      <c r="X118" s="217"/>
      <c r="Y118" s="217"/>
      <c r="Z118" s="217"/>
      <c r="AA118" s="217"/>
      <c r="AB118" s="218"/>
    </row>
    <row r="119" spans="2:28" ht="8.5500000000000007" customHeight="1" thickTop="1" x14ac:dyDescent="0.3"/>
    <row r="120" spans="2:28" ht="14.55" customHeight="1" x14ac:dyDescent="0.3">
      <c r="B120" s="145" t="s">
        <v>238</v>
      </c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</row>
    <row r="121" spans="2:28" ht="8.5500000000000007" customHeight="1" x14ac:dyDescent="0.3"/>
    <row r="122" spans="2:28" ht="14.55" customHeight="1" x14ac:dyDescent="0.3">
      <c r="B122" s="199" t="s">
        <v>237</v>
      </c>
      <c r="C122" s="199"/>
      <c r="D122" s="199"/>
      <c r="E122" s="199"/>
      <c r="F122" s="199"/>
      <c r="G122" s="199"/>
      <c r="H122" s="199"/>
      <c r="I122" s="200"/>
      <c r="K122" s="199" t="s">
        <v>236</v>
      </c>
      <c r="L122" s="199"/>
      <c r="M122" s="199"/>
      <c r="N122" s="199"/>
      <c r="O122" s="199"/>
      <c r="P122" s="199"/>
      <c r="Q122" s="199"/>
      <c r="R122" s="199"/>
      <c r="S122" s="200"/>
      <c r="U122" s="199" t="s">
        <v>235</v>
      </c>
      <c r="V122" s="199"/>
      <c r="W122" s="199"/>
      <c r="X122" s="199"/>
      <c r="Y122" s="199"/>
      <c r="Z122" s="199"/>
      <c r="AA122" s="199"/>
      <c r="AB122" s="200"/>
    </row>
    <row r="123" spans="2:28" ht="14.55" customHeight="1" x14ac:dyDescent="0.3">
      <c r="B123" s="199"/>
      <c r="C123" s="199"/>
      <c r="D123" s="199"/>
      <c r="E123" s="199"/>
      <c r="F123" s="199"/>
      <c r="G123" s="199"/>
      <c r="H123" s="199"/>
      <c r="I123" s="200"/>
      <c r="K123" s="199"/>
      <c r="L123" s="199"/>
      <c r="M123" s="199"/>
      <c r="N123" s="199"/>
      <c r="O123" s="199"/>
      <c r="P123" s="199"/>
      <c r="Q123" s="199"/>
      <c r="R123" s="199"/>
      <c r="S123" s="200"/>
      <c r="U123" s="199"/>
      <c r="V123" s="199"/>
      <c r="W123" s="199"/>
      <c r="X123" s="199"/>
      <c r="Y123" s="199"/>
      <c r="Z123" s="199"/>
      <c r="AA123" s="199"/>
      <c r="AB123" s="200"/>
    </row>
    <row r="124" spans="2:28" ht="8.5500000000000007" customHeight="1" x14ac:dyDescent="0.3"/>
    <row r="125" spans="2:28" x14ac:dyDescent="0.3">
      <c r="B125" s="2" t="s">
        <v>234</v>
      </c>
      <c r="K125" s="2" t="s">
        <v>233</v>
      </c>
      <c r="U125" s="2" t="s">
        <v>232</v>
      </c>
    </row>
    <row r="126" spans="2:28" x14ac:dyDescent="0.3">
      <c r="B126" s="2" t="s">
        <v>231</v>
      </c>
      <c r="K126" s="2" t="s">
        <v>231</v>
      </c>
      <c r="U126" s="2" t="s">
        <v>231</v>
      </c>
    </row>
    <row r="128" spans="2:28" x14ac:dyDescent="0.3">
      <c r="D128" s="3" t="s">
        <v>230</v>
      </c>
      <c r="E128" s="3" t="s">
        <v>229</v>
      </c>
      <c r="N128" s="3" t="s">
        <v>230</v>
      </c>
      <c r="O128" s="203" t="s">
        <v>229</v>
      </c>
      <c r="P128" s="203"/>
      <c r="X128" s="203" t="s">
        <v>230</v>
      </c>
      <c r="Y128" s="203"/>
      <c r="Z128" s="3" t="s">
        <v>229</v>
      </c>
    </row>
    <row r="129" spans="2:28" x14ac:dyDescent="0.3">
      <c r="B129" s="2" t="s">
        <v>228</v>
      </c>
      <c r="D129" s="143">
        <v>0</v>
      </c>
      <c r="E129" s="143">
        <v>49</v>
      </c>
      <c r="K129" s="2" t="s">
        <v>228</v>
      </c>
      <c r="N129" s="143">
        <v>50</v>
      </c>
      <c r="O129" s="204" t="s">
        <v>227</v>
      </c>
      <c r="P129" s="204"/>
      <c r="U129" s="2" t="s">
        <v>228</v>
      </c>
      <c r="X129" s="201">
        <v>100</v>
      </c>
      <c r="Y129" s="202"/>
      <c r="Z129" s="142" t="s">
        <v>227</v>
      </c>
    </row>
    <row r="130" spans="2:28" x14ac:dyDescent="0.3">
      <c r="B130" s="2" t="s">
        <v>226</v>
      </c>
      <c r="D130" s="143" t="s">
        <v>225</v>
      </c>
      <c r="E130" s="143" t="s">
        <v>227</v>
      </c>
      <c r="K130" s="2" t="s">
        <v>226</v>
      </c>
      <c r="N130" s="143" t="s">
        <v>225</v>
      </c>
      <c r="O130" s="204" t="s">
        <v>227</v>
      </c>
      <c r="P130" s="204"/>
      <c r="U130" s="2" t="s">
        <v>226</v>
      </c>
      <c r="X130" s="201" t="s">
        <v>225</v>
      </c>
      <c r="Y130" s="202"/>
      <c r="Z130" s="141" t="s">
        <v>224</v>
      </c>
    </row>
    <row r="132" spans="2:28" x14ac:dyDescent="0.3">
      <c r="B132" s="132" t="s">
        <v>223</v>
      </c>
    </row>
    <row r="133" spans="2:28" x14ac:dyDescent="0.3">
      <c r="B133" s="140" t="s">
        <v>222</v>
      </c>
    </row>
    <row r="135" spans="2:28" x14ac:dyDescent="0.3">
      <c r="B135" s="132" t="s">
        <v>221</v>
      </c>
    </row>
    <row r="136" spans="2:28" x14ac:dyDescent="0.3">
      <c r="W136" s="139"/>
    </row>
    <row r="137" spans="2:28" ht="14.55" customHeight="1" x14ac:dyDescent="0.3">
      <c r="K137" s="190" t="s">
        <v>220</v>
      </c>
      <c r="L137" s="191"/>
      <c r="M137" s="191"/>
      <c r="N137" s="191"/>
      <c r="O137" s="191"/>
      <c r="P137" s="191"/>
      <c r="Q137" s="191"/>
      <c r="R137" s="191"/>
      <c r="S137" s="192"/>
      <c r="U137" s="194"/>
      <c r="V137" s="194"/>
      <c r="W137" s="194"/>
      <c r="X137" s="194"/>
      <c r="Y137" s="194"/>
      <c r="Z137" s="194"/>
      <c r="AA137" s="194"/>
      <c r="AB137" s="194"/>
    </row>
    <row r="138" spans="2:28" x14ac:dyDescent="0.3">
      <c r="K138" s="193"/>
      <c r="L138" s="194"/>
      <c r="M138" s="194"/>
      <c r="N138" s="194"/>
      <c r="O138" s="194"/>
      <c r="P138" s="194"/>
      <c r="Q138" s="194"/>
      <c r="R138" s="194"/>
      <c r="S138" s="195"/>
      <c r="U138" s="194"/>
      <c r="V138" s="194"/>
      <c r="W138" s="194"/>
      <c r="X138" s="194"/>
      <c r="Y138" s="194"/>
      <c r="Z138" s="194"/>
      <c r="AA138" s="194"/>
      <c r="AB138" s="194"/>
    </row>
    <row r="139" spans="2:28" x14ac:dyDescent="0.3">
      <c r="K139" s="193"/>
      <c r="L139" s="194"/>
      <c r="M139" s="194"/>
      <c r="N139" s="194"/>
      <c r="O139" s="194"/>
      <c r="P139" s="194"/>
      <c r="Q139" s="194"/>
      <c r="R139" s="194"/>
      <c r="S139" s="195"/>
      <c r="U139" s="194"/>
      <c r="V139" s="194"/>
      <c r="W139" s="194"/>
      <c r="X139" s="194"/>
      <c r="Y139" s="194"/>
      <c r="Z139" s="194"/>
      <c r="AA139" s="194"/>
      <c r="AB139" s="194"/>
    </row>
    <row r="140" spans="2:28" x14ac:dyDescent="0.3">
      <c r="K140" s="193"/>
      <c r="L140" s="194"/>
      <c r="M140" s="194"/>
      <c r="N140" s="194"/>
      <c r="O140" s="194"/>
      <c r="P140" s="194"/>
      <c r="Q140" s="194"/>
      <c r="R140" s="194"/>
      <c r="S140" s="195"/>
      <c r="U140" s="133"/>
    </row>
    <row r="141" spans="2:28" x14ac:dyDescent="0.3">
      <c r="K141" s="138" t="s">
        <v>219</v>
      </c>
      <c r="S141" s="137"/>
      <c r="U141" s="133"/>
    </row>
    <row r="142" spans="2:28" x14ac:dyDescent="0.3">
      <c r="K142" s="138" t="s">
        <v>218</v>
      </c>
      <c r="O142" s="83"/>
      <c r="S142" s="137"/>
      <c r="U142" s="133"/>
    </row>
    <row r="143" spans="2:28" x14ac:dyDescent="0.3">
      <c r="K143" s="138" t="s">
        <v>217</v>
      </c>
      <c r="O143" s="83"/>
      <c r="S143" s="137"/>
      <c r="U143" s="133"/>
    </row>
    <row r="144" spans="2:28" x14ac:dyDescent="0.3">
      <c r="K144" s="138" t="s">
        <v>216</v>
      </c>
      <c r="O144" s="83"/>
      <c r="S144" s="137"/>
      <c r="U144" s="133"/>
    </row>
    <row r="145" spans="2:21" x14ac:dyDescent="0.3">
      <c r="K145" s="136" t="s">
        <v>215</v>
      </c>
      <c r="L145" s="135"/>
      <c r="M145" s="135"/>
      <c r="N145" s="135"/>
      <c r="O145" s="135"/>
      <c r="P145" s="135"/>
      <c r="Q145" s="135"/>
      <c r="R145" s="135"/>
      <c r="S145" s="134"/>
      <c r="U145" s="133"/>
    </row>
    <row r="146" spans="2:21" x14ac:dyDescent="0.3">
      <c r="U146" s="133"/>
    </row>
    <row r="147" spans="2:21" x14ac:dyDescent="0.3">
      <c r="B147" s="132" t="s">
        <v>214</v>
      </c>
      <c r="K147" s="83"/>
      <c r="U147" s="133"/>
    </row>
    <row r="148" spans="2:21" x14ac:dyDescent="0.3">
      <c r="U148" s="133"/>
    </row>
    <row r="149" spans="2:21" ht="14.55" customHeight="1" x14ac:dyDescent="0.3">
      <c r="K149" s="190" t="s">
        <v>213</v>
      </c>
      <c r="L149" s="191"/>
      <c r="M149" s="191"/>
      <c r="N149" s="191"/>
      <c r="O149" s="191"/>
      <c r="P149" s="191"/>
      <c r="Q149" s="191"/>
      <c r="R149" s="191"/>
      <c r="S149" s="192"/>
    </row>
    <row r="150" spans="2:21" ht="14.55" customHeight="1" x14ac:dyDescent="0.3">
      <c r="K150" s="193"/>
      <c r="L150" s="194"/>
      <c r="M150" s="194"/>
      <c r="N150" s="194"/>
      <c r="O150" s="194"/>
      <c r="P150" s="194"/>
      <c r="Q150" s="194"/>
      <c r="R150" s="194"/>
      <c r="S150" s="195"/>
    </row>
    <row r="151" spans="2:21" x14ac:dyDescent="0.3">
      <c r="K151" s="193"/>
      <c r="L151" s="194"/>
      <c r="M151" s="194"/>
      <c r="N151" s="194"/>
      <c r="O151" s="194"/>
      <c r="P151" s="194"/>
      <c r="Q151" s="194"/>
      <c r="R151" s="194"/>
      <c r="S151" s="195"/>
    </row>
    <row r="152" spans="2:21" x14ac:dyDescent="0.3">
      <c r="K152" s="196"/>
      <c r="L152" s="197"/>
      <c r="M152" s="197"/>
      <c r="N152" s="197"/>
      <c r="O152" s="197"/>
      <c r="P152" s="197"/>
      <c r="Q152" s="197"/>
      <c r="R152" s="197"/>
      <c r="S152" s="198"/>
    </row>
    <row r="154" spans="2:21" x14ac:dyDescent="0.3">
      <c r="B154" s="132" t="s">
        <v>212</v>
      </c>
    </row>
    <row r="155" spans="2:21" ht="8.5500000000000007" customHeight="1" x14ac:dyDescent="0.3"/>
    <row r="156" spans="2:21" x14ac:dyDescent="0.3">
      <c r="B156" s="132" t="s">
        <v>211</v>
      </c>
    </row>
    <row r="157" spans="2:21" x14ac:dyDescent="0.3">
      <c r="B157" s="132" t="s">
        <v>210</v>
      </c>
    </row>
    <row r="158" spans="2:21" x14ac:dyDescent="0.3">
      <c r="B158" s="132" t="s">
        <v>209</v>
      </c>
    </row>
    <row r="160" spans="2:21" x14ac:dyDescent="0.3">
      <c r="B160" s="132" t="s">
        <v>208</v>
      </c>
    </row>
    <row r="162" spans="2:28" ht="14.55" customHeight="1" x14ac:dyDescent="0.3">
      <c r="K162" s="190" t="s">
        <v>207</v>
      </c>
      <c r="L162" s="191"/>
      <c r="M162" s="191"/>
      <c r="N162" s="191"/>
      <c r="O162" s="191"/>
      <c r="P162" s="191"/>
      <c r="Q162" s="191"/>
      <c r="R162" s="191"/>
      <c r="S162" s="192"/>
      <c r="U162" s="190" t="s">
        <v>206</v>
      </c>
      <c r="V162" s="191"/>
      <c r="W162" s="191"/>
      <c r="X162" s="191"/>
      <c r="Y162" s="191"/>
      <c r="Z162" s="191"/>
      <c r="AA162" s="191"/>
      <c r="AB162" s="192"/>
    </row>
    <row r="163" spans="2:28" x14ac:dyDescent="0.3">
      <c r="K163" s="193"/>
      <c r="L163" s="194"/>
      <c r="M163" s="194"/>
      <c r="N163" s="194"/>
      <c r="O163" s="194"/>
      <c r="P163" s="194"/>
      <c r="Q163" s="194"/>
      <c r="R163" s="194"/>
      <c r="S163" s="195"/>
      <c r="U163" s="193"/>
      <c r="V163" s="194"/>
      <c r="W163" s="194"/>
      <c r="X163" s="194"/>
      <c r="Y163" s="194"/>
      <c r="Z163" s="194"/>
      <c r="AA163" s="194"/>
      <c r="AB163" s="195"/>
    </row>
    <row r="164" spans="2:28" x14ac:dyDescent="0.3">
      <c r="K164" s="196"/>
      <c r="L164" s="197"/>
      <c r="M164" s="197"/>
      <c r="N164" s="197"/>
      <c r="O164" s="197"/>
      <c r="P164" s="197"/>
      <c r="Q164" s="197"/>
      <c r="R164" s="197"/>
      <c r="S164" s="198"/>
      <c r="U164" s="196"/>
      <c r="V164" s="197"/>
      <c r="W164" s="197"/>
      <c r="X164" s="197"/>
      <c r="Y164" s="197"/>
      <c r="Z164" s="197"/>
      <c r="AA164" s="197"/>
      <c r="AB164" s="198"/>
    </row>
    <row r="166" spans="2:28" x14ac:dyDescent="0.3">
      <c r="B166" s="132" t="s">
        <v>205</v>
      </c>
    </row>
    <row r="168" spans="2:28" x14ac:dyDescent="0.3">
      <c r="K168" s="190" t="s">
        <v>204</v>
      </c>
      <c r="L168" s="191"/>
      <c r="M168" s="191"/>
      <c r="N168" s="191"/>
      <c r="O168" s="191"/>
      <c r="P168" s="191"/>
      <c r="Q168" s="191"/>
      <c r="R168" s="191"/>
      <c r="S168" s="192"/>
      <c r="U168" s="190" t="s">
        <v>203</v>
      </c>
      <c r="V168" s="191"/>
      <c r="W168" s="191"/>
      <c r="X168" s="191"/>
      <c r="Y168" s="191"/>
      <c r="Z168" s="191"/>
      <c r="AA168" s="191"/>
      <c r="AB168" s="192"/>
    </row>
    <row r="169" spans="2:28" x14ac:dyDescent="0.3">
      <c r="K169" s="193"/>
      <c r="L169" s="194"/>
      <c r="M169" s="194"/>
      <c r="N169" s="194"/>
      <c r="O169" s="194"/>
      <c r="P169" s="194"/>
      <c r="Q169" s="194"/>
      <c r="R169" s="194"/>
      <c r="S169" s="195"/>
      <c r="U169" s="193"/>
      <c r="V169" s="194"/>
      <c r="W169" s="194"/>
      <c r="X169" s="194"/>
      <c r="Y169" s="194"/>
      <c r="Z169" s="194"/>
      <c r="AA169" s="194"/>
      <c r="AB169" s="195"/>
    </row>
    <row r="170" spans="2:28" x14ac:dyDescent="0.3">
      <c r="K170" s="196"/>
      <c r="L170" s="197"/>
      <c r="M170" s="197"/>
      <c r="N170" s="197"/>
      <c r="O170" s="197"/>
      <c r="P170" s="197"/>
      <c r="Q170" s="197"/>
      <c r="R170" s="197"/>
      <c r="S170" s="198"/>
      <c r="U170" s="196"/>
      <c r="V170" s="197"/>
      <c r="W170" s="197"/>
      <c r="X170" s="197"/>
      <c r="Y170" s="197"/>
      <c r="Z170" s="197"/>
      <c r="AA170" s="197"/>
      <c r="AB170" s="198"/>
    </row>
  </sheetData>
  <mergeCells count="62">
    <mergeCell ref="K7:N7"/>
    <mergeCell ref="L8:M8"/>
    <mergeCell ref="B19:F33"/>
    <mergeCell ref="K105:M106"/>
    <mergeCell ref="N105:Q106"/>
    <mergeCell ref="B102:I103"/>
    <mergeCell ref="B41:I42"/>
    <mergeCell ref="B116:I118"/>
    <mergeCell ref="K116:S118"/>
    <mergeCell ref="U116:AB118"/>
    <mergeCell ref="K91:S93"/>
    <mergeCell ref="I19:N33"/>
    <mergeCell ref="R105:S106"/>
    <mergeCell ref="B43:I43"/>
    <mergeCell ref="K41:S42"/>
    <mergeCell ref="K43:S43"/>
    <mergeCell ref="U41:AB42"/>
    <mergeCell ref="U43:AB43"/>
    <mergeCell ref="V45:AA48"/>
    <mergeCell ref="V63:AA66"/>
    <mergeCell ref="Y55:Z55"/>
    <mergeCell ref="Y73:Z73"/>
    <mergeCell ref="C87:H89"/>
    <mergeCell ref="C70:G71"/>
    <mergeCell ref="L70:Q71"/>
    <mergeCell ref="O49:P49"/>
    <mergeCell ref="B91:I93"/>
    <mergeCell ref="U91:AB93"/>
    <mergeCell ref="B105:C106"/>
    <mergeCell ref="D105:E106"/>
    <mergeCell ref="F105:I106"/>
    <mergeCell ref="U105:W106"/>
    <mergeCell ref="U102:AB103"/>
    <mergeCell ref="K102:S103"/>
    <mergeCell ref="X105:Z106"/>
    <mergeCell ref="AA105:AB106"/>
    <mergeCell ref="O48:P48"/>
    <mergeCell ref="L63:R64"/>
    <mergeCell ref="C63:H64"/>
    <mergeCell ref="C65:H67"/>
    <mergeCell ref="L65:R67"/>
    <mergeCell ref="L87:Q89"/>
    <mergeCell ref="C56:H59"/>
    <mergeCell ref="L56:R59"/>
    <mergeCell ref="O80:P80"/>
    <mergeCell ref="O79:P79"/>
    <mergeCell ref="B122:I123"/>
    <mergeCell ref="K122:S123"/>
    <mergeCell ref="U122:AB123"/>
    <mergeCell ref="X129:Y129"/>
    <mergeCell ref="X130:Y130"/>
    <mergeCell ref="X128:Y128"/>
    <mergeCell ref="O128:P128"/>
    <mergeCell ref="O129:P129"/>
    <mergeCell ref="O130:P130"/>
    <mergeCell ref="K162:S164"/>
    <mergeCell ref="U162:AB164"/>
    <mergeCell ref="K168:S170"/>
    <mergeCell ref="U168:AB170"/>
    <mergeCell ref="U137:AB139"/>
    <mergeCell ref="K149:S152"/>
    <mergeCell ref="K137:S1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REGLES POUR RECO DU CONCEPT</vt:lpstr>
      <vt:lpstr>NB CH 1</vt:lpstr>
      <vt:lpstr>NB CH 2</vt:lpstr>
      <vt:lpstr>RESTO 1</vt:lpstr>
      <vt:lpstr>RESTO 2</vt:lpstr>
      <vt:lpstr>BAR 1</vt:lpstr>
      <vt:lpstr>BAR 2</vt:lpstr>
      <vt:lpstr>CRITERES POUR PANEL</vt:lpstr>
      <vt:lpstr>TESTS SIMPLY</vt:lpstr>
      <vt:lpstr>TESTS LIBERTY</vt:lpstr>
      <vt:lpstr>TESTS CONNECTED</vt:lpstr>
      <vt:lpstr>CORRECTIONS ND</vt:lpstr>
      <vt:lpstr>DATA</vt:lpstr>
      <vt:lpstr>PROTOTYPE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Thomas</dc:creator>
  <cp:keywords/>
  <dc:description/>
  <cp:lastModifiedBy>BERTRAND Thomas</cp:lastModifiedBy>
  <cp:revision/>
  <dcterms:created xsi:type="dcterms:W3CDTF">2025-06-26T10:07:57Z</dcterms:created>
  <dcterms:modified xsi:type="dcterms:W3CDTF">2026-02-23T13:50:57Z</dcterms:modified>
  <cp:category/>
  <cp:contentStatus/>
</cp:coreProperties>
</file>