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ccor-my.sharepoint.com/personal/accor_dts_pme_accor_com/Documents/06_INNOVATION_LAB/GROUPS/HOTEL EXPERIENCE/RETAIL/AUTONOMOUS RETAIL/08 - ROD/3 - PARAMETRES &amp; REGLES/"/>
    </mc:Choice>
  </mc:AlternateContent>
  <xr:revisionPtr revIDLastSave="9258" documentId="8_{87D8F1AF-A4D9-450A-9DAF-3666ECA38CFF}" xr6:coauthVersionLast="47" xr6:coauthVersionMax="47" xr10:uidLastSave="{832B60C8-95E2-44C9-B68E-889508AAFB4A}"/>
  <bookViews>
    <workbookView xWindow="-108" yWindow="-108" windowWidth="23256" windowHeight="12456" tabRatio="648" xr2:uid="{D975A049-75E5-4D83-A767-AE68C19FF003}"/>
  </bookViews>
  <sheets>
    <sheet name="SIMULATEUR SIMPLY" sheetId="11" r:id="rId1"/>
    <sheet name="SIMULATEUR LIBERTY" sheetId="12" r:id="rId2"/>
    <sheet name="SIMULATEUR CONNECTED" sheetId="13" r:id="rId3"/>
    <sheet name="COUTS - TECHNOS" sheetId="5" r:id="rId4"/>
    <sheet name="COUTS - ANNEXES" sheetId="6" r:id="rId5"/>
    <sheet name="COUTS - AGENCEMENT" sheetId="4" r:id="rId6"/>
    <sheet name="REVENUS - MIX &amp; MARGES" sheetId="9" r:id="rId7"/>
    <sheet name="REVENUS - IMPACT TO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1" l="1"/>
  <c r="O44" i="11"/>
  <c r="E51" i="11"/>
  <c r="O43" i="11"/>
  <c r="O42" i="11"/>
  <c r="O48" i="11"/>
  <c r="O34" i="13"/>
  <c r="C21" i="13"/>
  <c r="C17" i="13"/>
  <c r="C16" i="13"/>
  <c r="C15" i="13"/>
  <c r="O108" i="13"/>
  <c r="O112" i="13"/>
  <c r="O120" i="13" s="1"/>
  <c r="O94" i="13"/>
  <c r="H162" i="12"/>
  <c r="R166" i="12"/>
  <c r="O166" i="12"/>
  <c r="O147" i="11"/>
  <c r="O147" i="12"/>
  <c r="Z8" i="4"/>
  <c r="H162" i="13" s="1"/>
  <c r="M15" i="12" l="1"/>
  <c r="O52" i="13"/>
  <c r="O51" i="13"/>
  <c r="E51" i="13"/>
  <c r="E52" i="13"/>
  <c r="O48" i="13"/>
  <c r="O44" i="13"/>
  <c r="O47" i="13"/>
  <c r="O43" i="13"/>
  <c r="O109" i="13"/>
  <c r="M148" i="13"/>
  <c r="M147" i="13"/>
  <c r="H113" i="13"/>
  <c r="H112" i="13"/>
  <c r="E113" i="13"/>
  <c r="E112" i="13"/>
  <c r="H52" i="13"/>
  <c r="H51" i="13"/>
  <c r="M16" i="13"/>
  <c r="M15" i="13"/>
  <c r="M17" i="13"/>
  <c r="O148" i="12"/>
  <c r="E155" i="13" l="1"/>
  <c r="H155" i="13" s="1"/>
  <c r="E156" i="13"/>
  <c r="H156" i="13" s="1"/>
  <c r="E156" i="12"/>
  <c r="H156" i="12" s="1"/>
  <c r="E155" i="12"/>
  <c r="E156" i="11"/>
  <c r="H156" i="11" s="1"/>
  <c r="E155" i="11"/>
  <c r="H155" i="11" s="1"/>
  <c r="O157" i="11"/>
  <c r="R157" i="11" s="1"/>
  <c r="O156" i="11"/>
  <c r="R156" i="11" s="1"/>
  <c r="O155" i="11"/>
  <c r="R155" i="11" s="1"/>
  <c r="E157" i="11"/>
  <c r="H157" i="11" s="1"/>
  <c r="R155" i="12"/>
  <c r="O157" i="12"/>
  <c r="R157" i="12" s="1"/>
  <c r="O156" i="12"/>
  <c r="R156" i="12" s="1"/>
  <c r="O155" i="12"/>
  <c r="O157" i="13"/>
  <c r="R157" i="13" s="1"/>
  <c r="O156" i="13"/>
  <c r="R156" i="13" s="1"/>
  <c r="O155" i="13"/>
  <c r="R155" i="13" s="1"/>
  <c r="R147" i="13"/>
  <c r="O150" i="13"/>
  <c r="R150" i="13" s="1"/>
  <c r="O148" i="13"/>
  <c r="R148" i="13" s="1"/>
  <c r="E148" i="13"/>
  <c r="H148" i="13" s="1"/>
  <c r="E147" i="13"/>
  <c r="H147" i="13" s="1"/>
  <c r="O147" i="13"/>
  <c r="R150" i="12"/>
  <c r="R149" i="12"/>
  <c r="R148" i="12"/>
  <c r="R147" i="12"/>
  <c r="O150" i="12"/>
  <c r="O149" i="12"/>
  <c r="H164" i="12"/>
  <c r="H166" i="12" s="1"/>
  <c r="H163" i="12"/>
  <c r="H164" i="13"/>
  <c r="H163" i="13"/>
  <c r="H155" i="12"/>
  <c r="E157" i="13"/>
  <c r="H157" i="13" s="1"/>
  <c r="H150" i="12"/>
  <c r="H149" i="12"/>
  <c r="H148" i="12"/>
  <c r="H148" i="11"/>
  <c r="E148" i="12"/>
  <c r="E147" i="12"/>
  <c r="H147" i="12" s="1"/>
  <c r="H151" i="12" s="1"/>
  <c r="E149" i="11"/>
  <c r="H149" i="11" s="1"/>
  <c r="E150" i="11"/>
  <c r="H150" i="11" s="1"/>
  <c r="E148" i="11"/>
  <c r="E147" i="11"/>
  <c r="H147" i="11" s="1"/>
  <c r="R148" i="11"/>
  <c r="R147" i="11"/>
  <c r="O148" i="11"/>
  <c r="E164" i="12"/>
  <c r="E166" i="12" s="1"/>
  <c r="E163" i="12"/>
  <c r="E162" i="12"/>
  <c r="H164" i="11"/>
  <c r="H163" i="11"/>
  <c r="H162" i="11"/>
  <c r="E164" i="11"/>
  <c r="E162" i="11"/>
  <c r="E163" i="11"/>
  <c r="E164" i="13"/>
  <c r="E163" i="13"/>
  <c r="E166" i="13" s="1"/>
  <c r="E162" i="13"/>
  <c r="E150" i="13"/>
  <c r="H150" i="13" s="1"/>
  <c r="O150" i="11"/>
  <c r="R150" i="11" s="1"/>
  <c r="S149" i="13"/>
  <c r="P149" i="13"/>
  <c r="I149" i="13"/>
  <c r="U11" i="5"/>
  <c r="U10" i="5"/>
  <c r="U9" i="5"/>
  <c r="U8" i="5"/>
  <c r="U15" i="5"/>
  <c r="M166" i="13"/>
  <c r="C166" i="13"/>
  <c r="F149" i="13"/>
  <c r="O129" i="13"/>
  <c r="E129" i="13"/>
  <c r="O128" i="13"/>
  <c r="E128" i="13"/>
  <c r="H121" i="13"/>
  <c r="E121" i="13"/>
  <c r="H120" i="13"/>
  <c r="E120" i="13"/>
  <c r="P70" i="13"/>
  <c r="I70" i="13"/>
  <c r="P69" i="13"/>
  <c r="I69" i="13"/>
  <c r="P68" i="13"/>
  <c r="I68" i="13"/>
  <c r="P67" i="13"/>
  <c r="I67" i="13"/>
  <c r="P66" i="13"/>
  <c r="I66" i="13"/>
  <c r="P65" i="13"/>
  <c r="I65" i="13"/>
  <c r="P64" i="13"/>
  <c r="I64" i="13"/>
  <c r="O46" i="13"/>
  <c r="O42" i="13"/>
  <c r="T11" i="13"/>
  <c r="J11" i="13"/>
  <c r="K15" i="6"/>
  <c r="E157" i="12"/>
  <c r="H157" i="12" s="1"/>
  <c r="E150" i="12"/>
  <c r="E149" i="12"/>
  <c r="M166" i="12"/>
  <c r="C166" i="12"/>
  <c r="P149" i="12"/>
  <c r="F149" i="12"/>
  <c r="O129" i="12"/>
  <c r="E129" i="12"/>
  <c r="O128" i="12"/>
  <c r="E128" i="12"/>
  <c r="H121" i="12"/>
  <c r="E121" i="12"/>
  <c r="H120" i="12"/>
  <c r="E120" i="12"/>
  <c r="H113" i="12"/>
  <c r="E113" i="12"/>
  <c r="H112" i="12"/>
  <c r="E112" i="12"/>
  <c r="O109" i="12"/>
  <c r="O108" i="12"/>
  <c r="P70" i="12"/>
  <c r="I70" i="12"/>
  <c r="P69" i="12"/>
  <c r="I69" i="12"/>
  <c r="P68" i="12"/>
  <c r="I68" i="12"/>
  <c r="P67" i="12"/>
  <c r="I67" i="12"/>
  <c r="P66" i="12"/>
  <c r="I66" i="12"/>
  <c r="P65" i="12"/>
  <c r="I65" i="12"/>
  <c r="P64" i="12"/>
  <c r="I64" i="12"/>
  <c r="H52" i="12"/>
  <c r="E52" i="12"/>
  <c r="H51" i="12"/>
  <c r="E51" i="12"/>
  <c r="O46" i="12"/>
  <c r="O47" i="12" s="1"/>
  <c r="O42" i="12"/>
  <c r="O43" i="12" s="1"/>
  <c r="M16" i="12"/>
  <c r="M17" i="12" s="1"/>
  <c r="C16" i="12"/>
  <c r="C17" i="12" s="1"/>
  <c r="C15" i="12"/>
  <c r="T11" i="12"/>
  <c r="J11" i="12"/>
  <c r="R158" i="11" l="1"/>
  <c r="R151" i="12"/>
  <c r="E158" i="12"/>
  <c r="E151" i="12"/>
  <c r="R166" i="13"/>
  <c r="H166" i="13"/>
  <c r="H122" i="13"/>
  <c r="O166" i="13"/>
  <c r="H158" i="13"/>
  <c r="O158" i="11"/>
  <c r="H158" i="11"/>
  <c r="H151" i="13"/>
  <c r="H151" i="11"/>
  <c r="O158" i="13"/>
  <c r="P75" i="13"/>
  <c r="O75" i="13" s="1"/>
  <c r="R158" i="13"/>
  <c r="I75" i="13"/>
  <c r="H75" i="13" s="1"/>
  <c r="E158" i="13"/>
  <c r="E151" i="13"/>
  <c r="E122" i="13"/>
  <c r="E132" i="13"/>
  <c r="E133" i="13"/>
  <c r="E134" i="13" s="1"/>
  <c r="I75" i="12"/>
  <c r="H75" i="12" s="1"/>
  <c r="R158" i="12"/>
  <c r="R168" i="12" s="1"/>
  <c r="O158" i="12"/>
  <c r="P75" i="12"/>
  <c r="O75" i="12" s="1"/>
  <c r="E122" i="12"/>
  <c r="H122" i="12"/>
  <c r="H158" i="12"/>
  <c r="E168" i="12"/>
  <c r="E133" i="12"/>
  <c r="O48" i="12"/>
  <c r="O44" i="12"/>
  <c r="C21" i="12"/>
  <c r="C31" i="12" s="1"/>
  <c r="F117" i="12" s="1"/>
  <c r="O151" i="12"/>
  <c r="E132" i="12"/>
  <c r="C31" i="13" l="1"/>
  <c r="F117" i="13" s="1"/>
  <c r="M19" i="13"/>
  <c r="E168" i="13"/>
  <c r="H168" i="12"/>
  <c r="O168" i="12"/>
  <c r="E134" i="12"/>
  <c r="M31" i="13"/>
  <c r="O151" i="13"/>
  <c r="O168" i="13" s="1"/>
  <c r="R151" i="13"/>
  <c r="R168" i="13" s="1"/>
  <c r="H168" i="13"/>
  <c r="E176" i="13" s="1"/>
  <c r="E177" i="13" s="1"/>
  <c r="M19" i="12"/>
  <c r="M31" i="12"/>
  <c r="O34" i="12" s="1"/>
  <c r="O51" i="12" s="1"/>
  <c r="O94" i="12" s="1"/>
  <c r="O112" i="12" s="1"/>
  <c r="O120" i="12" s="1"/>
  <c r="E176" i="12" l="1"/>
  <c r="E177" i="12" s="1"/>
  <c r="O132" i="13"/>
  <c r="O35" i="13"/>
  <c r="O95" i="13" s="1"/>
  <c r="P117" i="13"/>
  <c r="E184" i="13"/>
  <c r="E185" i="13" s="1"/>
  <c r="E184" i="12"/>
  <c r="E185" i="12" s="1"/>
  <c r="P117" i="12"/>
  <c r="O35" i="12"/>
  <c r="O52" i="12" s="1"/>
  <c r="O95" i="12" s="1"/>
  <c r="O113" i="12" s="1"/>
  <c r="O121" i="12" s="1"/>
  <c r="O133" i="12" s="1"/>
  <c r="O132" i="12"/>
  <c r="M166" i="11"/>
  <c r="O149" i="11"/>
  <c r="R149" i="11" s="1"/>
  <c r="R151" i="11" s="1"/>
  <c r="F8" i="5"/>
  <c r="O128" i="11"/>
  <c r="O129" i="11"/>
  <c r="E129" i="11"/>
  <c r="E128" i="11"/>
  <c r="H113" i="11"/>
  <c r="H112" i="11"/>
  <c r="E113" i="11"/>
  <c r="E112" i="11"/>
  <c r="J11" i="11"/>
  <c r="T11" i="11"/>
  <c r="C16" i="11"/>
  <c r="C17" i="11" s="1"/>
  <c r="C21" i="11" s="1"/>
  <c r="C15" i="11"/>
  <c r="O121" i="13" l="1"/>
  <c r="O133" i="13" s="1"/>
  <c r="O134" i="13" s="1"/>
  <c r="O176" i="13" s="1"/>
  <c r="O184" i="13" s="1"/>
  <c r="O185" i="13" s="1"/>
  <c r="O113" i="13"/>
  <c r="R166" i="11"/>
  <c r="R168" i="11" s="1"/>
  <c r="O166" i="11"/>
  <c r="O134" i="12"/>
  <c r="O176" i="12" s="1"/>
  <c r="O122" i="12"/>
  <c r="E158" i="11"/>
  <c r="C31" i="11"/>
  <c r="O122" i="13" l="1"/>
  <c r="O177" i="13"/>
  <c r="O177" i="12"/>
  <c r="O184" i="12"/>
  <c r="O185" i="12" s="1"/>
  <c r="P149" i="11"/>
  <c r="O151" i="11" s="1"/>
  <c r="O168" i="11" s="1"/>
  <c r="C166" i="11"/>
  <c r="O109" i="11"/>
  <c r="O108" i="11"/>
  <c r="O47" i="11"/>
  <c r="H52" i="11"/>
  <c r="H51" i="11"/>
  <c r="E52" i="11"/>
  <c r="M16" i="11"/>
  <c r="M17" i="11" s="1"/>
  <c r="M31" i="11" s="1"/>
  <c r="M15" i="11"/>
  <c r="T8" i="4"/>
  <c r="S15" i="4"/>
  <c r="T15" i="4"/>
  <c r="N26" i="5"/>
  <c r="N15" i="5"/>
  <c r="E166" i="11" l="1"/>
  <c r="H166" i="11"/>
  <c r="O34" i="11"/>
  <c r="O35" i="11"/>
  <c r="P117" i="11"/>
  <c r="M19" i="11"/>
  <c r="F117" i="11"/>
  <c r="H168" i="11" l="1"/>
  <c r="O51" i="11"/>
  <c r="O52" i="11"/>
  <c r="M15" i="5"/>
  <c r="V28" i="5"/>
  <c r="U28" i="5"/>
  <c r="U18" i="5" l="1"/>
  <c r="U17" i="5"/>
  <c r="U16" i="5"/>
  <c r="T15" i="5"/>
  <c r="T8" i="5"/>
  <c r="N11" i="5"/>
  <c r="L11" i="5" s="1"/>
  <c r="M11" i="5" s="1"/>
  <c r="N10" i="5"/>
  <c r="L10" i="5" s="1"/>
  <c r="M10" i="5" s="1"/>
  <c r="N9" i="5"/>
  <c r="L9" i="5"/>
  <c r="M9" i="5" s="1"/>
  <c r="E22" i="5"/>
  <c r="E28" i="5" s="1"/>
  <c r="E18" i="5"/>
  <c r="E17" i="5"/>
  <c r="E16" i="5"/>
  <c r="F26" i="5"/>
  <c r="E121" i="11" l="1"/>
  <c r="E133" i="11" s="1"/>
  <c r="E120" i="11"/>
  <c r="E132" i="11" s="1"/>
  <c r="E134" i="11" l="1"/>
  <c r="E176" i="11" s="1"/>
  <c r="E177" i="11" s="1"/>
  <c r="E122" i="11"/>
  <c r="B14" i="4"/>
  <c r="F8" i="4"/>
  <c r="F13" i="4"/>
  <c r="I13" i="4"/>
  <c r="G13" i="4"/>
  <c r="E13" i="4"/>
  <c r="J10" i="4"/>
  <c r="J8" i="4"/>
  <c r="H121" i="11" l="1"/>
  <c r="H120" i="11"/>
  <c r="P69" i="11"/>
  <c r="I70" i="11"/>
  <c r="P68" i="11"/>
  <c r="I69" i="11"/>
  <c r="P67" i="11"/>
  <c r="I68" i="11"/>
  <c r="P70" i="11"/>
  <c r="I67" i="11"/>
  <c r="P66" i="11"/>
  <c r="I66" i="11"/>
  <c r="P65" i="11"/>
  <c r="I65" i="11"/>
  <c r="P64" i="11"/>
  <c r="I64" i="11"/>
  <c r="I75" i="11" s="1"/>
  <c r="H75" i="11" s="1"/>
  <c r="P75" i="11" l="1"/>
  <c r="O75" i="11" s="1"/>
  <c r="O95" i="11" s="1"/>
  <c r="O113" i="11" s="1"/>
  <c r="O121" i="11" s="1"/>
  <c r="O133" i="11" s="1"/>
  <c r="O94" i="11"/>
  <c r="O112" i="11" s="1"/>
  <c r="O120" i="11" s="1"/>
  <c r="O132" i="11" s="1"/>
  <c r="H122" i="11"/>
  <c r="O134" i="11" l="1"/>
  <c r="O176" i="11" s="1"/>
  <c r="O122" i="11"/>
  <c r="O184" i="11" l="1"/>
  <c r="O185" i="11" s="1"/>
  <c r="O177" i="11"/>
  <c r="E9" i="9" l="1"/>
  <c r="J9" i="9"/>
  <c r="Y10" i="4"/>
  <c r="Z10" i="4"/>
  <c r="AA10" i="4"/>
  <c r="AB10" i="4"/>
  <c r="AC10" i="4"/>
  <c r="AD10" i="4" s="1"/>
  <c r="Y11" i="4"/>
  <c r="Z11" i="4"/>
  <c r="AA11" i="4"/>
  <c r="AB11" i="4"/>
  <c r="AC11" i="4"/>
  <c r="AD11" i="4"/>
  <c r="Y12" i="4"/>
  <c r="Z12" i="4" s="1"/>
  <c r="AA12" i="4"/>
  <c r="AB12" i="4"/>
  <c r="AC12" i="4"/>
  <c r="AD12" i="4"/>
  <c r="Y13" i="4"/>
  <c r="Z13" i="4"/>
  <c r="AA13" i="4"/>
  <c r="AB13" i="4" s="1"/>
  <c r="AC13" i="4"/>
  <c r="AD13" i="4"/>
  <c r="Y14" i="4"/>
  <c r="Z14" i="4"/>
  <c r="AA14" i="4"/>
  <c r="AB14" i="4"/>
  <c r="AC14" i="4"/>
  <c r="AD14" i="4" s="1"/>
  <c r="Y15" i="4"/>
  <c r="Z15" i="4"/>
  <c r="AA15" i="4"/>
  <c r="AB15" i="4"/>
  <c r="AC15" i="4"/>
  <c r="AD15" i="4"/>
  <c r="Y16" i="4"/>
  <c r="Z16" i="4" s="1"/>
  <c r="AA16" i="4"/>
  <c r="AB16" i="4"/>
  <c r="AC16" i="4"/>
  <c r="AD16" i="4"/>
  <c r="Y17" i="4"/>
  <c r="Z17" i="4"/>
  <c r="AA17" i="4"/>
  <c r="AB17" i="4" s="1"/>
  <c r="AC17" i="4"/>
  <c r="AD17" i="4"/>
  <c r="Y18" i="4"/>
  <c r="Z18" i="4"/>
  <c r="AA18" i="4"/>
  <c r="AB18" i="4"/>
  <c r="AC18" i="4"/>
  <c r="AD18" i="4" s="1"/>
  <c r="Y19" i="4"/>
  <c r="Z19" i="4"/>
  <c r="AA19" i="4"/>
  <c r="AB19" i="4"/>
  <c r="AC19" i="4"/>
  <c r="AD19" i="4"/>
  <c r="Y20" i="4"/>
  <c r="Z20" i="4" s="1"/>
  <c r="AA20" i="4"/>
  <c r="AB20" i="4"/>
  <c r="AC20" i="4"/>
  <c r="AD20" i="4"/>
  <c r="Y21" i="4"/>
  <c r="Z21" i="4"/>
  <c r="AA21" i="4"/>
  <c r="AB21" i="4" s="1"/>
  <c r="AC21" i="4"/>
  <c r="AD21" i="4"/>
  <c r="Y22" i="4"/>
  <c r="Z22" i="4"/>
  <c r="AA22" i="4"/>
  <c r="AB22" i="4"/>
  <c r="AC22" i="4"/>
  <c r="AD22" i="4" s="1"/>
  <c r="Y23" i="4"/>
  <c r="Z23" i="4"/>
  <c r="AA23" i="4"/>
  <c r="AB23" i="4"/>
  <c r="AC23" i="4"/>
  <c r="AD23" i="4"/>
  <c r="Y24" i="4"/>
  <c r="Z24" i="4" s="1"/>
  <c r="AA24" i="4"/>
  <c r="AB24" i="4"/>
  <c r="AC24" i="4"/>
  <c r="AD24" i="4"/>
  <c r="Y25" i="4"/>
  <c r="Z25" i="4"/>
  <c r="AA25" i="4"/>
  <c r="AB25" i="4" s="1"/>
  <c r="AC25" i="4"/>
  <c r="AD25" i="4"/>
  <c r="Y26" i="4"/>
  <c r="Z26" i="4"/>
  <c r="AA26" i="4"/>
  <c r="AB26" i="4"/>
  <c r="AC26" i="4"/>
  <c r="AD26" i="4" s="1"/>
  <c r="Y27" i="4"/>
  <c r="Z27" i="4"/>
  <c r="AA27" i="4"/>
  <c r="AB27" i="4"/>
  <c r="AC27" i="4"/>
  <c r="AD27" i="4"/>
  <c r="Y28" i="4"/>
  <c r="Z28" i="4" s="1"/>
  <c r="AA28" i="4"/>
  <c r="AB28" i="4"/>
  <c r="AC28" i="4"/>
  <c r="AD28" i="4"/>
  <c r="Y29" i="4"/>
  <c r="Z29" i="4"/>
  <c r="AA29" i="4"/>
  <c r="AB29" i="4" s="1"/>
  <c r="AC29" i="4"/>
  <c r="AD29" i="4"/>
  <c r="Y30" i="4"/>
  <c r="Z30" i="4"/>
  <c r="AA30" i="4"/>
  <c r="AB30" i="4"/>
  <c r="AC30" i="4"/>
  <c r="AD30" i="4" s="1"/>
  <c r="Y31" i="4"/>
  <c r="Z31" i="4"/>
  <c r="AA31" i="4"/>
  <c r="AB31" i="4"/>
  <c r="AC31" i="4"/>
  <c r="AD31" i="4"/>
  <c r="Y32" i="4"/>
  <c r="Z32" i="4" s="1"/>
  <c r="AA32" i="4"/>
  <c r="AB32" i="4"/>
  <c r="AC32" i="4"/>
  <c r="AD32" i="4"/>
  <c r="Y33" i="4"/>
  <c r="Z33" i="4"/>
  <c r="AA33" i="4"/>
  <c r="AB33" i="4" s="1"/>
  <c r="AC33" i="4"/>
  <c r="AD33" i="4"/>
  <c r="Y34" i="4"/>
  <c r="Z34" i="4"/>
  <c r="AA34" i="4"/>
  <c r="AB34" i="4"/>
  <c r="AC34" i="4"/>
  <c r="AD34" i="4" s="1"/>
  <c r="Y35" i="4"/>
  <c r="Z35" i="4"/>
  <c r="AA35" i="4"/>
  <c r="AB35" i="4"/>
  <c r="AC35" i="4"/>
  <c r="AD35" i="4"/>
  <c r="Y36" i="4"/>
  <c r="Z36" i="4" s="1"/>
  <c r="AA36" i="4"/>
  <c r="AB36" i="4"/>
  <c r="AC36" i="4"/>
  <c r="AD36" i="4"/>
  <c r="Y37" i="4"/>
  <c r="Z37" i="4"/>
  <c r="AA37" i="4"/>
  <c r="AB37" i="4" s="1"/>
  <c r="AC37" i="4"/>
  <c r="AD37" i="4"/>
  <c r="AD9" i="4"/>
  <c r="AC9" i="4"/>
  <c r="AB9" i="4"/>
  <c r="AA9" i="4"/>
  <c r="Z9" i="4"/>
  <c r="Y9" i="4"/>
  <c r="S10" i="4"/>
  <c r="T10" i="4" s="1"/>
  <c r="S11" i="4"/>
  <c r="T11" i="4"/>
  <c r="S12" i="4"/>
  <c r="T12" i="4"/>
  <c r="S13" i="4"/>
  <c r="T13" i="4"/>
  <c r="S14" i="4"/>
  <c r="T14" i="4" s="1"/>
  <c r="S16" i="4"/>
  <c r="T16" i="4"/>
  <c r="S17" i="4"/>
  <c r="T17" i="4"/>
  <c r="S18" i="4"/>
  <c r="T18" i="4" s="1"/>
  <c r="S19" i="4"/>
  <c r="T19" i="4"/>
  <c r="S20" i="4"/>
  <c r="T20" i="4"/>
  <c r="S21" i="4"/>
  <c r="T21" i="4"/>
  <c r="S22" i="4"/>
  <c r="T22" i="4" s="1"/>
  <c r="S23" i="4"/>
  <c r="T23" i="4"/>
  <c r="S24" i="4"/>
  <c r="T24" i="4"/>
  <c r="S25" i="4"/>
  <c r="T25" i="4"/>
  <c r="S26" i="4"/>
  <c r="T26" i="4" s="1"/>
  <c r="S27" i="4"/>
  <c r="T27" i="4"/>
  <c r="S28" i="4"/>
  <c r="T28" i="4"/>
  <c r="S29" i="4"/>
  <c r="T29" i="4"/>
  <c r="S30" i="4"/>
  <c r="T30" i="4" s="1"/>
  <c r="S31" i="4"/>
  <c r="T31" i="4"/>
  <c r="S32" i="4"/>
  <c r="T32" i="4"/>
  <c r="S33" i="4"/>
  <c r="T33" i="4"/>
  <c r="S34" i="4"/>
  <c r="T34" i="4" s="1"/>
  <c r="S35" i="4"/>
  <c r="T35" i="4"/>
  <c r="S36" i="4"/>
  <c r="T36" i="4"/>
  <c r="S37" i="4"/>
  <c r="T37" i="4"/>
  <c r="T9" i="4"/>
  <c r="S9" i="4"/>
  <c r="Q10" i="4"/>
  <c r="R10" i="4"/>
  <c r="Q11" i="4"/>
  <c r="R11" i="4" s="1"/>
  <c r="Q12" i="4"/>
  <c r="R12" i="4"/>
  <c r="Q13" i="4"/>
  <c r="R13" i="4"/>
  <c r="Q14" i="4"/>
  <c r="R14" i="4"/>
  <c r="Q15" i="4"/>
  <c r="R15" i="4" s="1"/>
  <c r="Q16" i="4"/>
  <c r="R16" i="4"/>
  <c r="Q17" i="4"/>
  <c r="R17" i="4"/>
  <c r="Q18" i="4"/>
  <c r="R18" i="4"/>
  <c r="Q19" i="4"/>
  <c r="R19" i="4" s="1"/>
  <c r="Q20" i="4"/>
  <c r="R20" i="4"/>
  <c r="Q21" i="4"/>
  <c r="R21" i="4"/>
  <c r="Q22" i="4"/>
  <c r="R22" i="4"/>
  <c r="Q23" i="4"/>
  <c r="R23" i="4" s="1"/>
  <c r="Q24" i="4"/>
  <c r="R24" i="4"/>
  <c r="Q25" i="4"/>
  <c r="R25" i="4"/>
  <c r="Q26" i="4"/>
  <c r="R26" i="4"/>
  <c r="Q27" i="4"/>
  <c r="R27" i="4" s="1"/>
  <c r="Q28" i="4"/>
  <c r="R28" i="4"/>
  <c r="Q29" i="4"/>
  <c r="R29" i="4"/>
  <c r="Q30" i="4"/>
  <c r="R30" i="4"/>
  <c r="Q31" i="4"/>
  <c r="R31" i="4" s="1"/>
  <c r="Q32" i="4"/>
  <c r="R32" i="4"/>
  <c r="Q33" i="4"/>
  <c r="R33" i="4"/>
  <c r="Q34" i="4"/>
  <c r="R34" i="4"/>
  <c r="Q35" i="4"/>
  <c r="R35" i="4" s="1"/>
  <c r="Q36" i="4"/>
  <c r="R36" i="4"/>
  <c r="Q37" i="4"/>
  <c r="R37" i="4"/>
  <c r="R9" i="4"/>
  <c r="Q9" i="4"/>
  <c r="O10" i="4"/>
  <c r="P10" i="4"/>
  <c r="O11" i="4"/>
  <c r="P11" i="4" s="1"/>
  <c r="O12" i="4"/>
  <c r="P12" i="4"/>
  <c r="O13" i="4"/>
  <c r="P13" i="4"/>
  <c r="O14" i="4"/>
  <c r="P14" i="4"/>
  <c r="O15" i="4"/>
  <c r="P15" i="4" s="1"/>
  <c r="O16" i="4"/>
  <c r="P16" i="4"/>
  <c r="O17" i="4"/>
  <c r="P17" i="4"/>
  <c r="O18" i="4"/>
  <c r="P18" i="4"/>
  <c r="O19" i="4"/>
  <c r="P19" i="4" s="1"/>
  <c r="O20" i="4"/>
  <c r="P20" i="4"/>
  <c r="O21" i="4"/>
  <c r="P21" i="4"/>
  <c r="O22" i="4"/>
  <c r="P22" i="4"/>
  <c r="O23" i="4"/>
  <c r="P23" i="4" s="1"/>
  <c r="O24" i="4"/>
  <c r="P24" i="4"/>
  <c r="O25" i="4"/>
  <c r="P25" i="4"/>
  <c r="O26" i="4"/>
  <c r="P26" i="4"/>
  <c r="O27" i="4"/>
  <c r="P27" i="4" s="1"/>
  <c r="O28" i="4"/>
  <c r="P28" i="4"/>
  <c r="O29" i="4"/>
  <c r="P29" i="4"/>
  <c r="O30" i="4"/>
  <c r="P30" i="4"/>
  <c r="O31" i="4"/>
  <c r="P31" i="4" s="1"/>
  <c r="O32" i="4"/>
  <c r="P32" i="4"/>
  <c r="O33" i="4"/>
  <c r="P33" i="4"/>
  <c r="O34" i="4"/>
  <c r="P34" i="4"/>
  <c r="O35" i="4"/>
  <c r="P35" i="4" s="1"/>
  <c r="O36" i="4"/>
  <c r="P36" i="4"/>
  <c r="O37" i="4"/>
  <c r="P37" i="4"/>
  <c r="P9" i="4"/>
  <c r="O9" i="4"/>
  <c r="P8" i="4"/>
  <c r="R8" i="4"/>
  <c r="I10" i="4"/>
  <c r="I11" i="4"/>
  <c r="J11" i="4" s="1"/>
  <c r="I12" i="4"/>
  <c r="J12" i="4"/>
  <c r="J13" i="4"/>
  <c r="I14" i="4"/>
  <c r="J14" i="4"/>
  <c r="I15" i="4"/>
  <c r="J15" i="4" s="1"/>
  <c r="I16" i="4"/>
  <c r="J16" i="4"/>
  <c r="I17" i="4"/>
  <c r="J17" i="4" s="1"/>
  <c r="I18" i="4"/>
  <c r="J18" i="4"/>
  <c r="I19" i="4"/>
  <c r="J19" i="4" s="1"/>
  <c r="I20" i="4"/>
  <c r="J20" i="4"/>
  <c r="I21" i="4"/>
  <c r="J21" i="4" s="1"/>
  <c r="I22" i="4"/>
  <c r="J22" i="4"/>
  <c r="I23" i="4"/>
  <c r="J23" i="4" s="1"/>
  <c r="I24" i="4"/>
  <c r="J24" i="4"/>
  <c r="I25" i="4"/>
  <c r="J25" i="4" s="1"/>
  <c r="I26" i="4"/>
  <c r="J26" i="4"/>
  <c r="I27" i="4"/>
  <c r="J27" i="4" s="1"/>
  <c r="I28" i="4"/>
  <c r="J28" i="4"/>
  <c r="I29" i="4"/>
  <c r="J29" i="4" s="1"/>
  <c r="I30" i="4"/>
  <c r="J30" i="4"/>
  <c r="I31" i="4"/>
  <c r="J31" i="4" s="1"/>
  <c r="I32" i="4"/>
  <c r="J32" i="4"/>
  <c r="I33" i="4"/>
  <c r="J33" i="4" s="1"/>
  <c r="I34" i="4"/>
  <c r="J34" i="4"/>
  <c r="I35" i="4"/>
  <c r="J35" i="4" s="1"/>
  <c r="I36" i="4"/>
  <c r="J36" i="4"/>
  <c r="I37" i="4"/>
  <c r="J37" i="4" s="1"/>
  <c r="I9" i="4"/>
  <c r="J9" i="4"/>
  <c r="G10" i="4"/>
  <c r="H10" i="4"/>
  <c r="G11" i="4"/>
  <c r="H11" i="4" s="1"/>
  <c r="G12" i="4"/>
  <c r="H12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H9" i="4"/>
  <c r="G9" i="4"/>
  <c r="E10" i="4"/>
  <c r="F10" i="4"/>
  <c r="E11" i="4"/>
  <c r="F11" i="4"/>
  <c r="E12" i="4"/>
  <c r="F12" i="4" s="1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 s="1"/>
  <c r="E36" i="4"/>
  <c r="F36" i="4"/>
  <c r="E37" i="4"/>
  <c r="F37" i="4"/>
  <c r="F9" i="4"/>
  <c r="E9" i="4"/>
  <c r="H8" i="4"/>
  <c r="F15" i="5" l="1"/>
  <c r="F28" i="5" s="1"/>
  <c r="O18" i="9"/>
  <c r="O9" i="9"/>
  <c r="E18" i="9"/>
  <c r="J18" i="9"/>
  <c r="J16" i="9"/>
  <c r="I15" i="9"/>
  <c r="H15" i="9"/>
  <c r="J15" i="9" s="1"/>
  <c r="I16" i="9"/>
  <c r="H16" i="9"/>
  <c r="J11" i="9"/>
  <c r="J13" i="9"/>
  <c r="O7" i="9"/>
  <c r="J7" i="9"/>
  <c r="E7" i="9"/>
  <c r="I8" i="7"/>
  <c r="I12" i="7" s="1"/>
  <c r="F8" i="7"/>
  <c r="F12" i="7" s="1"/>
  <c r="AA12" i="7"/>
  <c r="Z12" i="7"/>
  <c r="Y12" i="7"/>
  <c r="X12" i="7"/>
  <c r="W12" i="7"/>
  <c r="V12" i="7"/>
  <c r="L10" i="7"/>
  <c r="R12" i="7" s="1"/>
  <c r="G12" i="7"/>
  <c r="H12" i="7"/>
  <c r="E12" i="7"/>
  <c r="D12" i="7"/>
  <c r="E8" i="6"/>
  <c r="K8" i="6"/>
  <c r="Q8" i="6"/>
  <c r="Q15" i="6"/>
  <c r="K24" i="6"/>
  <c r="Q22" i="6"/>
  <c r="K22" i="6"/>
  <c r="E22" i="6"/>
  <c r="E24" i="6" s="1"/>
  <c r="M22" i="5"/>
  <c r="V26" i="5"/>
  <c r="Q24" i="6"/>
  <c r="R17" i="6"/>
  <c r="Q17" i="6" s="1"/>
  <c r="R18" i="6"/>
  <c r="Q18" i="6" s="1"/>
  <c r="R16" i="6"/>
  <c r="Q16" i="6" s="1"/>
  <c r="R10" i="6"/>
  <c r="Q10" i="6" s="1"/>
  <c r="R11" i="6"/>
  <c r="Q11" i="6" s="1"/>
  <c r="R9" i="6"/>
  <c r="Q9" i="6" s="1"/>
  <c r="R24" i="6"/>
  <c r="L24" i="6"/>
  <c r="L10" i="6"/>
  <c r="K10" i="6" s="1"/>
  <c r="L11" i="6"/>
  <c r="L9" i="6"/>
  <c r="K9" i="6" s="1"/>
  <c r="K11" i="6"/>
  <c r="K17" i="6"/>
  <c r="L16" i="6"/>
  <c r="K16" i="6" s="1"/>
  <c r="K18" i="6"/>
  <c r="L17" i="6"/>
  <c r="L18" i="6"/>
  <c r="F24" i="6"/>
  <c r="E9" i="6"/>
  <c r="E10" i="6"/>
  <c r="E11" i="6"/>
  <c r="F10" i="6"/>
  <c r="F11" i="6"/>
  <c r="F9" i="6"/>
  <c r="E17" i="6"/>
  <c r="E16" i="6"/>
  <c r="F17" i="6"/>
  <c r="F18" i="6"/>
  <c r="F16" i="6"/>
  <c r="E15" i="6"/>
  <c r="E18" i="6" s="1"/>
  <c r="V17" i="5"/>
  <c r="T17" i="5" s="1"/>
  <c r="V18" i="5"/>
  <c r="T18" i="5" s="1"/>
  <c r="V16" i="5"/>
  <c r="T16" i="5" s="1"/>
  <c r="V10" i="5"/>
  <c r="V11" i="5"/>
  <c r="V9" i="5"/>
  <c r="L17" i="5"/>
  <c r="L18" i="5"/>
  <c r="L16" i="5"/>
  <c r="L8" i="5"/>
  <c r="F17" i="5"/>
  <c r="F18" i="5"/>
  <c r="F16" i="5"/>
  <c r="E11" i="5"/>
  <c r="F11" i="5" s="1"/>
  <c r="E10" i="5"/>
  <c r="F10" i="5" s="1"/>
  <c r="E9" i="5"/>
  <c r="F9" i="5" s="1"/>
  <c r="AD8" i="4"/>
  <c r="AB8" i="4"/>
  <c r="T9" i="5" l="1"/>
  <c r="T11" i="5"/>
  <c r="N17" i="5"/>
  <c r="M17" i="5"/>
  <c r="N28" i="5"/>
  <c r="N16" i="5"/>
  <c r="M16" i="5"/>
  <c r="M8" i="5"/>
  <c r="M28" i="5" s="1"/>
  <c r="N18" i="5"/>
  <c r="M18" i="5"/>
  <c r="F149" i="11"/>
  <c r="E151" i="11" s="1"/>
  <c r="T10" i="5"/>
  <c r="M12" i="7"/>
  <c r="N12" i="7"/>
  <c r="O12" i="7"/>
  <c r="P12" i="7"/>
  <c r="Q12" i="7"/>
  <c r="E168" i="11" l="1"/>
  <c r="E184" i="11" s="1"/>
  <c r="E18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tc={1A7A519E-6296-4FE5-93DC-CB380AD8A795}</author>
  </authors>
  <commentList>
    <comment ref="M166" authorId="0" shapeId="0" xr:uid="{1A7A519E-6296-4FE5-93DC-CB380AD8A7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Ne pas modifier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tc={14AFF51F-3663-4FA2-BED3-71A7C993A5AE}</author>
  </authors>
  <commentList>
    <comment ref="M166" authorId="0" shapeId="0" xr:uid="{14AFF51F-3663-4FA2-BED3-71A7C993A5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Ne pas modifier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tc={32C93C77-C608-4381-A13C-C796F940A9A3}</author>
  </authors>
  <commentList>
    <comment ref="M166" authorId="0" shapeId="0" xr:uid="{32C93C77-C608-4381-A13C-C796F940A9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Ne pas modifier</t>
      </text>
    </comment>
  </commentList>
</comments>
</file>

<file path=xl/sharedStrings.xml><?xml version="1.0" encoding="utf-8"?>
<sst xmlns="http://schemas.openxmlformats.org/spreadsheetml/2006/main" count="1031" uniqueCount="183">
  <si>
    <t>F&amp;B</t>
  </si>
  <si>
    <t xml:space="preserve"> - </t>
  </si>
  <si>
    <t>Drinks without alcohol</t>
  </si>
  <si>
    <t>SOS</t>
  </si>
  <si>
    <t>Drinks with alcohol</t>
  </si>
  <si>
    <t>Hygiene</t>
  </si>
  <si>
    <t>Sugary food (dry)</t>
  </si>
  <si>
    <t>Cosmetics</t>
  </si>
  <si>
    <t>Sugary food (fresh)</t>
  </si>
  <si>
    <t>Souvenirs</t>
  </si>
  <si>
    <t>Salty food (dry)</t>
  </si>
  <si>
    <t>Kids items</t>
  </si>
  <si>
    <t>Salty food (fresh)</t>
  </si>
  <si>
    <t>Ready-to-wear</t>
  </si>
  <si>
    <t>Gourmet food</t>
  </si>
  <si>
    <t>Accessories</t>
  </si>
  <si>
    <t>SIMPLY STORE</t>
  </si>
  <si>
    <t>LIBERTY STORE</t>
  </si>
  <si>
    <t>CONNECTED STORE</t>
  </si>
  <si>
    <t>FRIGO FROID</t>
  </si>
  <si>
    <t>FRIGO AMBIANT</t>
  </si>
  <si>
    <t>RETAIL SPACE</t>
  </si>
  <si>
    <t>Marge</t>
  </si>
  <si>
    <t>M. lin.</t>
  </si>
  <si>
    <t>CA HT</t>
  </si>
  <si>
    <t>CA TTC</t>
  </si>
  <si>
    <t>N-F&amp;B</t>
  </si>
  <si>
    <t>TOTAL</t>
  </si>
  <si>
    <t>MARGE</t>
  </si>
  <si>
    <t>COUTS MENSUELS</t>
  </si>
  <si>
    <r>
      <t xml:space="preserve">REVENUS  </t>
    </r>
    <r>
      <rPr>
        <b/>
        <sz val="18"/>
        <color theme="0"/>
        <rFont val="Segoe UI Emoji"/>
        <family val="2"/>
      </rPr>
      <t xml:space="preserve">► </t>
    </r>
    <r>
      <rPr>
        <b/>
        <sz val="18"/>
        <color theme="0"/>
        <rFont val="Aptos Narrow"/>
        <family val="2"/>
        <scheme val="minor"/>
      </rPr>
      <t>TAUX D'OCCUPATION</t>
    </r>
  </si>
  <si>
    <t>TO MOYEN</t>
  </si>
  <si>
    <t>IBB NICE</t>
  </si>
  <si>
    <t>MER BOUL</t>
  </si>
  <si>
    <t>MER MONT</t>
  </si>
  <si>
    <t>NOV MEG</t>
  </si>
  <si>
    <t>MOYENNE</t>
  </si>
  <si>
    <t>IMPACT</t>
  </si>
  <si>
    <r>
      <t xml:space="preserve">REVENUS  </t>
    </r>
    <r>
      <rPr>
        <b/>
        <sz val="18"/>
        <color theme="0"/>
        <rFont val="Segoe UI Emoji"/>
        <family val="2"/>
      </rPr>
      <t xml:space="preserve">► </t>
    </r>
    <r>
      <rPr>
        <b/>
        <sz val="18"/>
        <color theme="0"/>
        <rFont val="Aptos Narrow"/>
        <family val="2"/>
        <scheme val="minor"/>
      </rPr>
      <t>MIX PRODUITS</t>
    </r>
  </si>
  <si>
    <t>MIX</t>
  </si>
  <si>
    <r>
      <t xml:space="preserve">COÛTS  </t>
    </r>
    <r>
      <rPr>
        <b/>
        <sz val="18"/>
        <color theme="0"/>
        <rFont val="Segoe UI Emoji"/>
        <family val="2"/>
      </rPr>
      <t xml:space="preserve">► </t>
    </r>
    <r>
      <rPr>
        <b/>
        <sz val="18"/>
        <color theme="0"/>
        <rFont val="Aptos Narrow"/>
        <family val="2"/>
        <scheme val="minor"/>
      </rPr>
      <t>TECHNOS</t>
    </r>
  </si>
  <si>
    <t>SCANNER</t>
  </si>
  <si>
    <t>CAISSE</t>
  </si>
  <si>
    <t>mois</t>
  </si>
  <si>
    <t>PAR MOIS</t>
  </si>
  <si>
    <t>scan</t>
  </si>
  <si>
    <t>cai.</t>
  </si>
  <si>
    <t>frig.</t>
  </si>
  <si>
    <t>VITRINE</t>
  </si>
  <si>
    <t>vitr.</t>
  </si>
  <si>
    <t>LICENCE LOG.</t>
  </si>
  <si>
    <t>licen.</t>
  </si>
  <si>
    <t>inclus</t>
  </si>
  <si>
    <t>FRAIS AD HOC</t>
  </si>
  <si>
    <t>frais</t>
  </si>
  <si>
    <r>
      <t xml:space="preserve">COÛTS  </t>
    </r>
    <r>
      <rPr>
        <b/>
        <sz val="18"/>
        <color theme="0"/>
        <rFont val="Segoe UI Emoji"/>
        <family val="2"/>
      </rPr>
      <t xml:space="preserve">► </t>
    </r>
    <r>
      <rPr>
        <b/>
        <sz val="18"/>
        <color theme="0"/>
        <rFont val="Aptos Narrow"/>
        <family val="2"/>
        <scheme val="minor"/>
      </rPr>
      <t>ANNEXES</t>
    </r>
  </si>
  <si>
    <t>ELECTRICITE</t>
  </si>
  <si>
    <t>PERSONNEL</t>
  </si>
  <si>
    <r>
      <t xml:space="preserve">COÛTS  </t>
    </r>
    <r>
      <rPr>
        <b/>
        <sz val="18"/>
        <color theme="0"/>
        <rFont val="Segoe UI Emoji"/>
        <family val="2"/>
      </rPr>
      <t xml:space="preserve">► </t>
    </r>
    <r>
      <rPr>
        <b/>
        <sz val="18"/>
        <color theme="0"/>
        <rFont val="Aptos Narrow"/>
        <family val="2"/>
        <scheme val="minor"/>
      </rPr>
      <t>AGENCEMENT</t>
    </r>
  </si>
  <si>
    <t>CLASSIC</t>
  </si>
  <si>
    <t>PREMIUM</t>
  </si>
  <si>
    <t>BESPOKE</t>
  </si>
  <si>
    <t>m</t>
  </si>
  <si>
    <t>IBB STRA</t>
  </si>
  <si>
    <t>NB : Vérifier quels presta permettent de couper le groupe froid
et indiquer aux hôtels que le frigo froid est recommandé !!</t>
  </si>
  <si>
    <t>MENSUEL</t>
  </si>
  <si>
    <t>Scanner</t>
  </si>
  <si>
    <t>Vitrine</t>
  </si>
  <si>
    <t>Licence</t>
  </si>
  <si>
    <t>Cl. héb.</t>
  </si>
  <si>
    <t>Caisse</t>
  </si>
  <si>
    <t>Nb. ventes</t>
  </si>
  <si>
    <t>clients hébergés / jour</t>
  </si>
  <si>
    <t>clients hébergés / mois</t>
  </si>
  <si>
    <t>ventes mensuelles (résultat pilotes)</t>
  </si>
  <si>
    <t>REVENUS POUR</t>
  </si>
  <si>
    <t>ACHETEURS / MOIS</t>
  </si>
  <si>
    <t>Frigo froid</t>
  </si>
  <si>
    <t>Frigo amb.</t>
  </si>
  <si>
    <t>staff</t>
  </si>
  <si>
    <r>
      <rPr>
        <b/>
        <u/>
        <sz val="11"/>
        <color rgb="FFFF0000"/>
        <rFont val="Aptos Narrow"/>
        <family val="2"/>
        <scheme val="minor"/>
      </rPr>
      <t>REGLE 1</t>
    </r>
    <r>
      <rPr>
        <b/>
        <sz val="11"/>
        <color rgb="FFFF0000"/>
        <rFont val="Aptos Narrow"/>
        <family val="2"/>
        <scheme val="minor"/>
      </rPr>
      <t xml:space="preserve"> =</t>
    </r>
  </si>
  <si>
    <r>
      <rPr>
        <b/>
        <u/>
        <sz val="11"/>
        <color rgb="FFFF0000"/>
        <rFont val="Aptos Narrow"/>
        <family val="2"/>
        <scheme val="minor"/>
      </rPr>
      <t>REGLE 2</t>
    </r>
    <r>
      <rPr>
        <b/>
        <sz val="11"/>
        <color rgb="FFFF0000"/>
        <rFont val="Aptos Narrow"/>
        <family val="2"/>
        <scheme val="minor"/>
      </rPr>
      <t xml:space="preserve"> =</t>
    </r>
  </si>
  <si>
    <t>Marge pondérée</t>
  </si>
  <si>
    <t>Frais OS</t>
  </si>
  <si>
    <t>Diff. F&amp;B</t>
  </si>
  <si>
    <r>
      <rPr>
        <b/>
        <u/>
        <sz val="11"/>
        <color rgb="FFFF0000"/>
        <rFont val="Aptos Narrow"/>
        <family val="2"/>
        <scheme val="minor"/>
      </rPr>
      <t>REGLE 3</t>
    </r>
    <r>
      <rPr>
        <b/>
        <sz val="11"/>
        <color rgb="FFFF0000"/>
        <rFont val="Aptos Narrow"/>
        <family val="2"/>
        <scheme val="minor"/>
      </rPr>
      <t xml:space="preserve"> =</t>
    </r>
  </si>
  <si>
    <r>
      <t xml:space="preserve">Chaque mètre linéaire </t>
    </r>
    <r>
      <rPr>
        <b/>
        <u/>
        <sz val="11"/>
        <color rgb="FFFF0000"/>
        <rFont val="Aptos Narrow"/>
        <family val="2"/>
        <scheme val="minor"/>
      </rPr>
      <t>en plus ou en moins</t>
    </r>
    <r>
      <rPr>
        <b/>
        <sz val="11"/>
        <color rgb="FFFF0000"/>
        <rFont val="Aptos Narrow"/>
        <family val="2"/>
        <scheme val="minor"/>
      </rPr>
      <t xml:space="preserve"> impacte le CA.</t>
    </r>
  </si>
  <si>
    <t>↓</t>
  </si>
  <si>
    <t>Diff. ML</t>
  </si>
  <si>
    <t>F&amp;B add.</t>
  </si>
  <si>
    <t>N-F&amp;B add.</t>
  </si>
  <si>
    <t>Diff. N-F&amp;B</t>
  </si>
  <si>
    <t>de clients acheteurs / mois</t>
  </si>
  <si>
    <t>REVENUS CALCULES EN FONCTION DU NB. DE CLIENTS ACHETEURS</t>
  </si>
  <si>
    <t>clients acheteurs / mois</t>
  </si>
  <si>
    <r>
      <t xml:space="preserve">Les montants de CA ci-dessous sont basés sur le résultat
des pilotes </t>
    </r>
    <r>
      <rPr>
        <b/>
        <i/>
        <sz val="11"/>
        <color rgb="FFFF0000"/>
        <rFont val="Aptos Narrow"/>
        <family val="2"/>
        <scheme val="minor"/>
      </rPr>
      <t>SIMPLY</t>
    </r>
    <r>
      <rPr>
        <i/>
        <sz val="11"/>
        <color rgb="FFFF0000"/>
        <rFont val="Aptos Narrow"/>
        <family val="2"/>
        <scheme val="minor"/>
      </rPr>
      <t>.</t>
    </r>
  </si>
  <si>
    <r>
      <t xml:space="preserve">Les montants de CA ci-dessous sont basés sur le résultat
des pilotes </t>
    </r>
    <r>
      <rPr>
        <b/>
        <i/>
        <sz val="11"/>
        <color rgb="FFFF0000"/>
        <rFont val="Aptos Narrow"/>
        <family val="2"/>
        <scheme val="minor"/>
      </rPr>
      <t>LIBERTY</t>
    </r>
    <r>
      <rPr>
        <i/>
        <sz val="11"/>
        <color rgb="FFFF0000"/>
        <rFont val="Aptos Narrow"/>
        <family val="2"/>
        <scheme val="minor"/>
      </rPr>
      <t>.</t>
    </r>
  </si>
  <si>
    <r>
      <t xml:space="preserve">Si la catégorie est cochée </t>
    </r>
    <r>
      <rPr>
        <b/>
        <sz val="11"/>
        <color rgb="FFFF0000"/>
        <rFont val="Aptos Narrow"/>
        <family val="2"/>
        <scheme val="minor"/>
      </rPr>
      <t>+X%</t>
    </r>
    <r>
      <rPr>
        <sz val="11"/>
        <color rgb="FFFF0000"/>
        <rFont val="Aptos Narrow"/>
        <family val="2"/>
        <scheme val="minor"/>
      </rPr>
      <t xml:space="preserve"> sur le CA
Si la catégorie </t>
    </r>
    <r>
      <rPr>
        <u/>
        <sz val="11"/>
        <color rgb="FFFF0000"/>
        <rFont val="Aptos Narrow"/>
        <family val="2"/>
        <scheme val="minor"/>
      </rPr>
      <t>n'est pas</t>
    </r>
    <r>
      <rPr>
        <sz val="11"/>
        <color rgb="FFFF0000"/>
        <rFont val="Aptos Narrow"/>
        <family val="2"/>
        <scheme val="minor"/>
      </rPr>
      <t xml:space="preserve"> cochée </t>
    </r>
    <r>
      <rPr>
        <b/>
        <sz val="11"/>
        <color rgb="FFFF0000"/>
        <rFont val="Aptos Narrow"/>
        <family val="2"/>
        <scheme val="minor"/>
      </rPr>
      <t>-X%</t>
    </r>
    <r>
      <rPr>
        <sz val="11"/>
        <color rgb="FFFF0000"/>
        <rFont val="Aptos Narrow"/>
        <family val="2"/>
        <scheme val="minor"/>
      </rPr>
      <t xml:space="preserve"> sur le CA</t>
    </r>
  </si>
  <si>
    <t>CATEGORIES F&amp;B</t>
  </si>
  <si>
    <t>CATEGORIES NON-F&amp;B</t>
  </si>
  <si>
    <t>CUMUL F&amp;B</t>
  </si>
  <si>
    <r>
      <rPr>
        <b/>
        <u/>
        <sz val="11"/>
        <color rgb="FFFF0000"/>
        <rFont val="Aptos Narrow"/>
        <family val="2"/>
        <scheme val="minor"/>
      </rPr>
      <t>REGLE 4</t>
    </r>
    <r>
      <rPr>
        <b/>
        <sz val="11"/>
        <color rgb="FFFF0000"/>
        <rFont val="Aptos Narrow"/>
        <family val="2"/>
        <scheme val="minor"/>
      </rPr>
      <t xml:space="preserve"> =</t>
    </r>
  </si>
  <si>
    <t>CUMUL NON-F&amp;B</t>
  </si>
  <si>
    <t>(avec fonction ABS)</t>
  </si>
  <si>
    <t>HT</t>
  </si>
  <si>
    <t>PARAMETRES HOTEL</t>
  </si>
  <si>
    <t>Nb. de ch.</t>
  </si>
  <si>
    <t>Nb. gu / ch</t>
  </si>
  <si>
    <t>chambres occupées</t>
  </si>
  <si>
    <t>Ch. occ.</t>
  </si>
  <si>
    <t>Chaque client acheteur génère du CA.</t>
  </si>
  <si>
    <r>
      <t xml:space="preserve">Cette règle impacte </t>
    </r>
    <r>
      <rPr>
        <i/>
        <u/>
        <sz val="11"/>
        <color rgb="FFFF0000"/>
        <rFont val="Aptos Narrow"/>
        <family val="2"/>
        <scheme val="minor"/>
      </rPr>
      <t>le CA F&amp;B et le CA N-F&amp;B</t>
    </r>
    <r>
      <rPr>
        <i/>
        <sz val="11"/>
        <color rgb="FFFF0000"/>
        <rFont val="Aptos Narrow"/>
        <family val="2"/>
        <scheme val="minor"/>
      </rPr>
      <t xml:space="preserve">, aussi bien
en "bonus" qu'en "malus" pour chaque 10% de plus ou de moins
par rapport au </t>
    </r>
    <r>
      <rPr>
        <b/>
        <i/>
        <sz val="11"/>
        <color rgb="FFFF0000"/>
        <rFont val="Aptos Narrow"/>
        <family val="2"/>
        <scheme val="minor"/>
      </rPr>
      <t>MIX PDT DE REFERENCE</t>
    </r>
    <r>
      <rPr>
        <i/>
        <sz val="11"/>
        <color rgb="FFFF0000"/>
        <rFont val="Aptos Narrow"/>
        <family val="2"/>
        <scheme val="minor"/>
      </rPr>
      <t xml:space="preserve"> du </t>
    </r>
    <r>
      <rPr>
        <b/>
        <i/>
        <sz val="11"/>
        <color rgb="FFFF0000"/>
        <rFont val="Aptos Narrow"/>
        <family val="2"/>
        <scheme val="minor"/>
      </rPr>
      <t>SIMPLY STORE</t>
    </r>
    <r>
      <rPr>
        <i/>
        <sz val="11"/>
        <color rgb="FFFF0000"/>
        <rFont val="Aptos Narrow"/>
        <family val="2"/>
        <scheme val="minor"/>
      </rPr>
      <t>.</t>
    </r>
  </si>
  <si>
    <r>
      <t xml:space="preserve">Chaque 10% de MIX PDT </t>
    </r>
    <r>
      <rPr>
        <b/>
        <u/>
        <sz val="11"/>
        <color rgb="FFFF0000"/>
        <rFont val="Aptos Narrow"/>
        <family val="2"/>
        <scheme val="minor"/>
      </rPr>
      <t>en plus ou en moins</t>
    </r>
    <r>
      <rPr>
        <b/>
        <sz val="11"/>
        <color rgb="FFFF0000"/>
        <rFont val="Aptos Narrow"/>
        <family val="2"/>
        <scheme val="minor"/>
      </rPr>
      <t xml:space="preserve"> impacte le CA.</t>
    </r>
  </si>
  <si>
    <t>REVENUS POUR 10% (DE PLUS OU DE MOINS) DE MIX PRODUITS</t>
  </si>
  <si>
    <t>Nb. de x 10%</t>
  </si>
  <si>
    <t>INFLUENCE DES CATEGORIES DE PRODUITS SELECTIONNEES PAR L'HOTEL</t>
  </si>
  <si>
    <r>
      <t xml:space="preserve">Dans cet exemple, l'hôtel décide de sélectionner
</t>
    </r>
    <r>
      <rPr>
        <b/>
        <sz val="11"/>
        <color theme="1"/>
        <rFont val="Aptos Narrow"/>
        <family val="2"/>
        <scheme val="minor"/>
      </rPr>
      <t>toutes les catégories F&amp;B et NON-F&amp;B</t>
    </r>
    <r>
      <rPr>
        <sz val="11"/>
        <color theme="1"/>
        <rFont val="Aptos Narrow"/>
        <family val="2"/>
        <scheme val="minor"/>
      </rPr>
      <t>.</t>
    </r>
  </si>
  <si>
    <t>REVENUS POUR 1 METRE LINEAIRE (DE PLUS OU DE MOINS)</t>
  </si>
  <si>
    <r>
      <t xml:space="preserve">Cette règle impacte </t>
    </r>
    <r>
      <rPr>
        <i/>
        <u/>
        <sz val="11"/>
        <color rgb="FFFF0000"/>
        <rFont val="Aptos Narrow"/>
        <family val="2"/>
        <scheme val="minor"/>
      </rPr>
      <t>le CA F&amp;B et le CA NON-F&amp;B</t>
    </r>
    <r>
      <rPr>
        <i/>
        <sz val="11"/>
        <color rgb="FFFF0000"/>
        <rFont val="Aptos Narrow"/>
        <family val="2"/>
        <scheme val="minor"/>
      </rPr>
      <t xml:space="preserve">, aussi bien
en "bonus" qu'en "malus" pour chaque mètre linéaire de plus ou de moins, par rapport à la référence de </t>
    </r>
    <r>
      <rPr>
        <b/>
        <i/>
        <sz val="11"/>
        <color rgb="FFFF0000"/>
        <rFont val="Aptos Narrow"/>
        <family val="2"/>
        <scheme val="minor"/>
      </rPr>
      <t>6 mètres lin. (SIMPLY)</t>
    </r>
    <r>
      <rPr>
        <i/>
        <sz val="11"/>
        <color rgb="FFFF0000"/>
        <rFont val="Aptos Narrow"/>
        <family val="2"/>
        <scheme val="minor"/>
      </rPr>
      <t>.</t>
    </r>
  </si>
  <si>
    <r>
      <rPr>
        <b/>
        <u/>
        <sz val="11"/>
        <color rgb="FFFF0000"/>
        <rFont val="Aptos Narrow"/>
        <family val="2"/>
        <scheme val="minor"/>
      </rPr>
      <t>Attention</t>
    </r>
    <r>
      <rPr>
        <b/>
        <sz val="11"/>
        <color rgb="FFFF0000"/>
        <rFont val="Aptos Narrow"/>
        <family val="2"/>
        <scheme val="minor"/>
      </rPr>
      <t xml:space="preserve"> :</t>
    </r>
    <r>
      <rPr>
        <sz val="11"/>
        <color rgb="FFFF0000"/>
        <rFont val="Aptos Narrow"/>
        <family val="2"/>
        <scheme val="minor"/>
      </rPr>
      <t xml:space="preserve">
Si le nb. de mètres lin. est </t>
    </r>
    <r>
      <rPr>
        <b/>
        <sz val="11"/>
        <color rgb="FFFF0000"/>
        <rFont val="Aptos Narrow"/>
        <family val="2"/>
        <scheme val="minor"/>
      </rPr>
      <t>supérieur</t>
    </r>
    <r>
      <rPr>
        <sz val="11"/>
        <color rgb="FFFF0000"/>
        <rFont val="Aptos Narrow"/>
        <family val="2"/>
        <scheme val="minor"/>
      </rPr>
      <t xml:space="preserve"> au nb. de mètres lin. de </t>
    </r>
    <r>
      <rPr>
        <b/>
        <sz val="11"/>
        <color rgb="FFFF0000"/>
        <rFont val="Aptos Narrow"/>
        <family val="2"/>
        <scheme val="minor"/>
      </rPr>
      <t>référence</t>
    </r>
    <r>
      <rPr>
        <sz val="11"/>
        <color rgb="FFFF0000"/>
        <rFont val="Aptos Narrow"/>
        <family val="2"/>
        <scheme val="minor"/>
      </rPr>
      <t xml:space="preserve">,
alors la formule permet d'ajouter du CA (dans le cas inverse elle retire du CA).
</t>
    </r>
    <r>
      <rPr>
        <b/>
        <sz val="11"/>
        <color rgb="FFFF0000"/>
        <rFont val="Aptos Narrow"/>
        <family val="2"/>
        <scheme val="minor"/>
      </rPr>
      <t xml:space="preserve">
&gt;&gt; Plus l'hôtel augmente le nb. de ML de sa boutique, plus le CA augmente.</t>
    </r>
  </si>
  <si>
    <t>ans</t>
  </si>
  <si>
    <t>BUY</t>
  </si>
  <si>
    <t>LEASE</t>
  </si>
  <si>
    <r>
      <t xml:space="preserve">SIMPLY STORE </t>
    </r>
    <r>
      <rPr>
        <b/>
        <sz val="12"/>
        <color rgb="FFFF0000"/>
        <rFont val="Aptos Narrow"/>
        <family val="2"/>
        <scheme val="minor"/>
      </rPr>
      <t xml:space="preserve">&gt; BUY </t>
    </r>
    <r>
      <rPr>
        <b/>
        <u/>
        <sz val="12"/>
        <color rgb="FFFF0000"/>
        <rFont val="Aptos Narrow"/>
        <family val="2"/>
        <scheme val="minor"/>
      </rPr>
      <t>ONLY</t>
    </r>
  </si>
  <si>
    <r>
      <t xml:space="preserve">LIBERTY STORE </t>
    </r>
    <r>
      <rPr>
        <b/>
        <sz val="12"/>
        <color rgb="FFFF0000"/>
        <rFont val="Aptos Narrow"/>
        <family val="2"/>
        <scheme val="minor"/>
      </rPr>
      <t xml:space="preserve">&gt; BUY </t>
    </r>
    <r>
      <rPr>
        <b/>
        <u/>
        <sz val="12"/>
        <color rgb="FFFF0000"/>
        <rFont val="Aptos Narrow"/>
        <family val="2"/>
        <scheme val="minor"/>
      </rPr>
      <t>OU</t>
    </r>
    <r>
      <rPr>
        <b/>
        <sz val="12"/>
        <color rgb="FFFF0000"/>
        <rFont val="Aptos Narrow"/>
        <family val="2"/>
        <scheme val="minor"/>
      </rPr>
      <t xml:space="preserve"> LEASE</t>
    </r>
  </si>
  <si>
    <r>
      <t xml:space="preserve">Calcul du coût mensuel </t>
    </r>
    <r>
      <rPr>
        <u/>
        <sz val="9"/>
        <color theme="1"/>
        <rFont val="Aptos Narrow"/>
        <family val="2"/>
        <scheme val="minor"/>
      </rPr>
      <t>uniquement</t>
    </r>
    <r>
      <rPr>
        <sz val="9"/>
        <color theme="1"/>
        <rFont val="Aptos Narrow"/>
        <family val="2"/>
        <scheme val="minor"/>
      </rPr>
      <t xml:space="preserve"> pour la mensualisation du résultat.</t>
    </r>
  </si>
  <si>
    <r>
      <t xml:space="preserve">Licence réglée de façon
</t>
    </r>
    <r>
      <rPr>
        <u/>
        <sz val="9"/>
        <color theme="1"/>
        <rFont val="Aptos Narrow"/>
        <family val="2"/>
        <scheme val="minor"/>
      </rPr>
      <t>mensuelle</t>
    </r>
    <r>
      <rPr>
        <sz val="9"/>
        <color theme="1"/>
        <rFont val="Aptos Narrow"/>
        <family val="2"/>
        <scheme val="minor"/>
      </rPr>
      <t xml:space="preserve"> uniquement.</t>
    </r>
  </si>
  <si>
    <r>
      <t xml:space="preserve">Frais ad hoc réglés de façon
</t>
    </r>
    <r>
      <rPr>
        <u/>
        <sz val="9"/>
        <color theme="1"/>
        <rFont val="Aptos Narrow"/>
        <family val="2"/>
        <scheme val="minor"/>
      </rPr>
      <t>one-shot</t>
    </r>
    <r>
      <rPr>
        <sz val="9"/>
        <color theme="1"/>
        <rFont val="Aptos Narrow"/>
        <family val="2"/>
        <scheme val="minor"/>
      </rPr>
      <t xml:space="preserve"> uniquement.</t>
    </r>
  </si>
  <si>
    <t>Le matériel coûte moins cher à l'achat (~20% moins cher) qu'avec un contrat de leasing sur 60 mois.</t>
  </si>
  <si>
    <r>
      <t xml:space="preserve">CONNECTED STORE </t>
    </r>
    <r>
      <rPr>
        <b/>
        <sz val="12"/>
        <color rgb="FFFF0000"/>
        <rFont val="Aptos Narrow"/>
        <family val="2"/>
        <scheme val="minor"/>
      </rPr>
      <t xml:space="preserve">&gt; BUY </t>
    </r>
    <r>
      <rPr>
        <b/>
        <u/>
        <sz val="12"/>
        <color rgb="FFFF0000"/>
        <rFont val="Aptos Narrow"/>
        <family val="2"/>
        <scheme val="minor"/>
      </rPr>
      <t>OU</t>
    </r>
    <r>
      <rPr>
        <b/>
        <sz val="12"/>
        <color rgb="FFFF0000"/>
        <rFont val="Aptos Narrow"/>
        <family val="2"/>
        <scheme val="minor"/>
      </rPr>
      <t xml:space="preserve"> LEASE</t>
    </r>
  </si>
  <si>
    <t>LICENCE LOGICIELLE</t>
  </si>
  <si>
    <t>MOYENNE RESULTATS PILOTES</t>
  </si>
  <si>
    <t>SIMULATEUR</t>
  </si>
  <si>
    <t>COUTS TECHNO</t>
  </si>
  <si>
    <t>COUTS ANNEXES</t>
  </si>
  <si>
    <t>COUTS AGENCEMENT</t>
  </si>
  <si>
    <t>Elec. vitrine</t>
  </si>
  <si>
    <t>Elec. scanner</t>
  </si>
  <si>
    <t>Staff</t>
  </si>
  <si>
    <t>TAUX</t>
  </si>
  <si>
    <r>
      <rPr>
        <b/>
        <u/>
        <sz val="18"/>
        <color theme="0"/>
        <rFont val="Aptos Narrow"/>
        <family val="2"/>
        <scheme val="minor"/>
      </rPr>
      <t>SIMULATEUR ROD</t>
    </r>
    <r>
      <rPr>
        <b/>
        <sz val="18"/>
        <color theme="0"/>
        <rFont val="Aptos Narrow"/>
        <family val="2"/>
        <scheme val="minor"/>
      </rPr>
      <t xml:space="preserve"> : REVENUS / MARGE NETTE / AMORTISSEMENT</t>
    </r>
  </si>
  <si>
    <t>TO (YTD)</t>
  </si>
  <si>
    <t>MIX + MARGE PDTS</t>
  </si>
  <si>
    <t>ventes mensuelles</t>
  </si>
  <si>
    <t>REGLE N°1</t>
  </si>
  <si>
    <t>REGLE N°2</t>
  </si>
  <si>
    <t>REGLE N°3</t>
  </si>
  <si>
    <r>
      <rPr>
        <b/>
        <u/>
        <sz val="11"/>
        <color rgb="FFFF0000"/>
        <rFont val="Aptos Narrow"/>
        <family val="2"/>
        <scheme val="minor"/>
      </rPr>
      <t>Attention</t>
    </r>
    <r>
      <rPr>
        <b/>
        <sz val="11"/>
        <color rgb="FFFF0000"/>
        <rFont val="Aptos Narrow"/>
        <family val="2"/>
        <scheme val="minor"/>
      </rPr>
      <t xml:space="preserve"> :</t>
    </r>
    <r>
      <rPr>
        <sz val="11"/>
        <color rgb="FFFF0000"/>
        <rFont val="Aptos Narrow"/>
        <family val="2"/>
        <scheme val="minor"/>
      </rPr>
      <t xml:space="preserve">
Si le CA calculé à l'étape précédente (voir juste au-dessus) est </t>
    </r>
    <r>
      <rPr>
        <b/>
        <sz val="11"/>
        <color rgb="FFFF0000"/>
        <rFont val="Aptos Narrow"/>
        <family val="2"/>
        <scheme val="minor"/>
      </rPr>
      <t>négatif</t>
    </r>
    <r>
      <rPr>
        <sz val="11"/>
        <color rgb="FFFF0000"/>
        <rFont val="Aptos Narrow"/>
        <family val="2"/>
        <scheme val="minor"/>
      </rPr>
      <t xml:space="preserve">,
alors le fait de </t>
    </r>
    <r>
      <rPr>
        <u/>
        <sz val="11"/>
        <color rgb="FFFF0000"/>
        <rFont val="Aptos Narrow"/>
        <family val="2"/>
        <scheme val="minor"/>
      </rPr>
      <t>sélectionner de nombreuses catégories de produits</t>
    </r>
    <r>
      <rPr>
        <sz val="11"/>
        <color rgb="FFFF0000"/>
        <rFont val="Aptos Narrow"/>
        <family val="2"/>
        <scheme val="minor"/>
      </rPr>
      <t xml:space="preserve"> permet de </t>
    </r>
    <r>
      <rPr>
        <b/>
        <sz val="11"/>
        <color rgb="FFFF0000"/>
        <rFont val="Aptos Narrow"/>
        <family val="2"/>
        <scheme val="minor"/>
      </rPr>
      <t>"réduire" la perte de CA</t>
    </r>
    <r>
      <rPr>
        <sz val="11"/>
        <color rgb="FFFF0000"/>
        <rFont val="Aptos Narrow"/>
        <family val="2"/>
        <scheme val="minor"/>
      </rPr>
      <t xml:space="preserve">.
</t>
    </r>
    <r>
      <rPr>
        <b/>
        <sz val="11"/>
        <color rgb="FFFF0000"/>
        <rFont val="Aptos Narrow"/>
        <family val="2"/>
        <scheme val="minor"/>
      </rPr>
      <t>&gt;&gt; Plus l'hôtel sélectionne de catégories de produits, moins il perdra de CA.</t>
    </r>
  </si>
  <si>
    <t>REGLE N°4</t>
  </si>
  <si>
    <r>
      <t xml:space="preserve">APPLICATION DE LA </t>
    </r>
    <r>
      <rPr>
        <b/>
        <u/>
        <sz val="12"/>
        <color rgb="FFFF0000"/>
        <rFont val="Aptos Narrow"/>
        <family val="2"/>
        <scheme val="minor"/>
      </rPr>
      <t>REGLE 3</t>
    </r>
  </si>
  <si>
    <t>REVENUS</t>
  </si>
  <si>
    <t>MARGE PRODUITS MENSUELLE</t>
  </si>
  <si>
    <t>Marge moyenne</t>
  </si>
  <si>
    <t>CONTRAT</t>
  </si>
  <si>
    <t>Type</t>
  </si>
  <si>
    <t>Durée</t>
  </si>
  <si>
    <t>(aucune durée)</t>
  </si>
  <si>
    <t>ML (Class)</t>
  </si>
  <si>
    <t>ML (Prem)</t>
  </si>
  <si>
    <t>ML (Besp)</t>
  </si>
  <si>
    <r>
      <t xml:space="preserve">ML </t>
    </r>
    <r>
      <rPr>
        <b/>
        <i/>
        <u/>
        <sz val="11"/>
        <color theme="1"/>
        <rFont val="Aptos Narrow"/>
        <family val="2"/>
        <scheme val="minor"/>
      </rPr>
      <t>Besp</t>
    </r>
  </si>
  <si>
    <r>
      <t xml:space="preserve">ML </t>
    </r>
    <r>
      <rPr>
        <b/>
        <i/>
        <u/>
        <sz val="11"/>
        <color theme="1"/>
        <rFont val="Aptos Narrow"/>
        <family val="2"/>
        <scheme val="minor"/>
      </rPr>
      <t>Class</t>
    </r>
  </si>
  <si>
    <t>MARGE NETTE MENSUELLE</t>
  </si>
  <si>
    <t>AMORTISSEMENT</t>
  </si>
  <si>
    <t>Formule = (coût total sur 60 mois / marge nette mensuelle)</t>
  </si>
  <si>
    <t>Formule = (marge produits mensuelle - coûts mensuels)</t>
  </si>
  <si>
    <t>Elec. froid</t>
  </si>
  <si>
    <t>Elec. amb.</t>
  </si>
  <si>
    <r>
      <t xml:space="preserve">ML </t>
    </r>
    <r>
      <rPr>
        <b/>
        <i/>
        <u/>
        <sz val="11"/>
        <color theme="1"/>
        <rFont val="Aptos Narrow"/>
        <family val="2"/>
        <scheme val="minor"/>
      </rPr>
      <t>Prem</t>
    </r>
  </si>
  <si>
    <t>Elec. caisse</t>
  </si>
  <si>
    <t>Nb. gu / ch.</t>
  </si>
  <si>
    <t xml:space="preserve">   alors solution recommandée = LIBERTY</t>
  </si>
  <si>
    <t>*Pour les hôtels de + de 50 ch. si minimum 1 de ces 5 catégories cochées,</t>
  </si>
  <si>
    <t>REVENUS POUR 1 FRIGO CONNECTE (DE PLUS OU DE MOINS)</t>
  </si>
  <si>
    <r>
      <t xml:space="preserve">Chaque frigo connecté </t>
    </r>
    <r>
      <rPr>
        <b/>
        <u/>
        <sz val="11"/>
        <color rgb="FFFF0000"/>
        <rFont val="Aptos Narrow"/>
        <family val="2"/>
        <scheme val="minor"/>
      </rPr>
      <t>de plus ou de moins</t>
    </r>
    <r>
      <rPr>
        <b/>
        <sz val="11"/>
        <color rgb="FFFF0000"/>
        <rFont val="Aptos Narrow"/>
        <family val="2"/>
        <scheme val="minor"/>
      </rPr>
      <t xml:space="preserve"> impacte le CA.</t>
    </r>
  </si>
  <si>
    <t>NEW</t>
  </si>
  <si>
    <r>
      <t xml:space="preserve">Cette règle impacte </t>
    </r>
    <r>
      <rPr>
        <i/>
        <u/>
        <sz val="11"/>
        <color rgb="FFFF0000"/>
        <rFont val="Aptos Narrow"/>
        <family val="2"/>
        <scheme val="minor"/>
      </rPr>
      <t>le CA F&amp;B et le CA NON-F&amp;B</t>
    </r>
    <r>
      <rPr>
        <i/>
        <sz val="11"/>
        <color rgb="FFFF0000"/>
        <rFont val="Aptos Narrow"/>
        <family val="2"/>
        <scheme val="minor"/>
      </rPr>
      <t xml:space="preserve">, aussi bien
en "bonus" qu'en "malus" pour chaque mètre linéaire de plus ou de moins, par rapport à la référence de </t>
    </r>
    <r>
      <rPr>
        <b/>
        <i/>
        <sz val="11"/>
        <color rgb="FFFF0000"/>
        <rFont val="Aptos Narrow"/>
        <family val="2"/>
        <scheme val="minor"/>
      </rPr>
      <t>8 mètres lin. (LIBERTY)</t>
    </r>
    <r>
      <rPr>
        <i/>
        <sz val="11"/>
        <color rgb="FFFF0000"/>
        <rFont val="Aptos Narrow"/>
        <family val="2"/>
        <scheme val="minor"/>
      </rPr>
      <t>.</t>
    </r>
  </si>
  <si>
    <t>Nb. FC</t>
  </si>
  <si>
    <t>Frigo F</t>
  </si>
  <si>
    <t>Frigo A</t>
  </si>
  <si>
    <r>
      <t xml:space="preserve">Cette règle impacte </t>
    </r>
    <r>
      <rPr>
        <i/>
        <u/>
        <sz val="11"/>
        <color rgb="FFFF0000"/>
        <rFont val="Aptos Narrow"/>
        <family val="2"/>
        <scheme val="minor"/>
      </rPr>
      <t>le CA F&amp;B et le CA NON-F&amp;B</t>
    </r>
    <r>
      <rPr>
        <i/>
        <sz val="11"/>
        <color rgb="FFFF0000"/>
        <rFont val="Aptos Narrow"/>
        <family val="2"/>
        <scheme val="minor"/>
      </rPr>
      <t xml:space="preserve">, aussi bien
en "bonus" qu'en "malus" pour chaque frigo connecté de plus ou de moins, par rapport à la référence de </t>
    </r>
    <r>
      <rPr>
        <b/>
        <i/>
        <sz val="11"/>
        <color rgb="FFFF0000"/>
        <rFont val="Aptos Narrow"/>
        <family val="2"/>
        <scheme val="minor"/>
      </rPr>
      <t>3 frigos connectés</t>
    </r>
    <r>
      <rPr>
        <i/>
        <sz val="11"/>
        <color rgb="FFFF0000"/>
        <rFont val="Aptos Narrow"/>
        <family val="2"/>
        <scheme val="minor"/>
      </rPr>
      <t>.</t>
    </r>
  </si>
  <si>
    <t>Diff. Frigo</t>
  </si>
  <si>
    <r>
      <t xml:space="preserve">MOYENNE RESULTATS PILOTE
</t>
    </r>
    <r>
      <rPr>
        <sz val="10"/>
        <color theme="1"/>
        <rFont val="Aptos Narrow"/>
        <family val="2"/>
        <scheme val="minor"/>
      </rPr>
      <t xml:space="preserve"> (ajouter résultats hôtels vente en réception)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</si>
</sst>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&quot;€&quot;_-;\-* #,##0\ &quot;€&quot;_-;_-* &quot;-&quot;??\ &quot;€&quot;_-;_-@_-"/>
    <numFmt numFmtId="165" formatCode="0.0"/>
    <numFmt numFmtId="166" formatCode="_-* #,##0_-;\-* #,##0_-;_-* &quot;-&quot;??_-;_-@_-"/>
    <numFmt numFmtId="167" formatCode="#,##0\ &quot;€&quot;"/>
  </numFmts>
  <fonts count="4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Segoe UI Emoj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i/>
      <u/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8"/>
      <color theme="1"/>
      <name val="Segoe UI Emoji"/>
      <family val="2"/>
    </font>
    <font>
      <b/>
      <sz val="10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u/>
      <sz val="12"/>
      <color rgb="FFFF0000"/>
      <name val="Aptos Narrow"/>
      <family val="2"/>
      <scheme val="minor"/>
    </font>
    <font>
      <b/>
      <sz val="10"/>
      <color theme="0" tint="-0.249977111117893"/>
      <name val="Aptos Narrow"/>
      <family val="2"/>
      <scheme val="minor"/>
    </font>
    <font>
      <sz val="10"/>
      <color theme="0" tint="-0.24997711111789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8"/>
      <color theme="0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theme="0" tint="-0.24994659260841701"/>
      </top>
      <bottom/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/>
      <right/>
      <top style="medium">
        <color auto="1"/>
      </top>
      <bottom style="thin">
        <color theme="0" tint="-0.24994659260841701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auto="1"/>
      </right>
      <top style="thin">
        <color theme="0" tint="-0.2499465926084170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theme="0" tint="-0.24994659260841701"/>
      </bottom>
      <diagonal/>
    </border>
    <border>
      <left/>
      <right style="medium">
        <color rgb="FFFF0000"/>
      </right>
      <top style="medium">
        <color rgb="FFFF0000"/>
      </top>
      <bottom style="thin">
        <color theme="0" tint="-0.24994659260841701"/>
      </bottom>
      <diagonal/>
    </border>
    <border>
      <left style="medium">
        <color rgb="FFFF0000"/>
      </left>
      <right/>
      <top style="thin">
        <color theme="0" tint="-0.24994659260841701"/>
      </top>
      <bottom style="medium">
        <color rgb="FFFF0000"/>
      </bottom>
      <diagonal/>
    </border>
    <border>
      <left/>
      <right style="medium">
        <color rgb="FFFF0000"/>
      </right>
      <top style="thin">
        <color theme="0" tint="-0.24994659260841701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rgb="FFFF0000"/>
      </bottom>
      <diagonal/>
    </border>
    <border>
      <left style="medium">
        <color rgb="FFFF0000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rgb="FFFF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4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8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8" fillId="3" borderId="0" xfId="0" applyFont="1" applyFill="1" applyAlignment="1">
      <alignment vertical="center" wrapText="1"/>
    </xf>
    <xf numFmtId="0" fontId="0" fillId="3" borderId="0" xfId="0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64" fontId="17" fillId="0" borderId="1" xfId="1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164" fontId="17" fillId="5" borderId="1" xfId="1" applyNumberFormat="1" applyFont="1" applyFill="1" applyBorder="1" applyAlignment="1">
      <alignment vertical="center"/>
    </xf>
    <xf numFmtId="164" fontId="17" fillId="5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vertical="center"/>
    </xf>
    <xf numFmtId="164" fontId="17" fillId="4" borderId="1" xfId="1" applyNumberFormat="1" applyFont="1" applyFill="1" applyBorder="1" applyAlignment="1">
      <alignment vertical="center"/>
    </xf>
    <xf numFmtId="164" fontId="17" fillId="4" borderId="1" xfId="0" applyNumberFormat="1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0" fontId="19" fillId="0" borderId="0" xfId="0" applyFont="1" applyAlignment="1">
      <alignment horizontal="right" vertical="center"/>
    </xf>
    <xf numFmtId="164" fontId="17" fillId="4" borderId="1" xfId="1" applyNumberFormat="1" applyFont="1" applyFill="1" applyBorder="1" applyAlignment="1">
      <alignment horizontal="center" vertical="center"/>
    </xf>
    <xf numFmtId="164" fontId="2" fillId="4" borderId="13" xfId="0" applyNumberFormat="1" applyFont="1" applyFill="1" applyBorder="1" applyAlignment="1">
      <alignment vertical="center"/>
    </xf>
    <xf numFmtId="164" fontId="2" fillId="4" borderId="14" xfId="0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164" fontId="17" fillId="0" borderId="6" xfId="0" applyNumberFormat="1" applyFont="1" applyBorder="1" applyAlignment="1">
      <alignment vertical="center"/>
    </xf>
    <xf numFmtId="164" fontId="16" fillId="0" borderId="6" xfId="0" applyNumberFormat="1" applyFont="1" applyBorder="1" applyAlignment="1">
      <alignment vertical="center"/>
    </xf>
    <xf numFmtId="0" fontId="16" fillId="0" borderId="0" xfId="0" applyFont="1" applyAlignment="1">
      <alignment horizontal="right" vertical="center"/>
    </xf>
    <xf numFmtId="9" fontId="16" fillId="4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164" fontId="16" fillId="5" borderId="9" xfId="0" applyNumberFormat="1" applyFont="1" applyFill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164" fontId="17" fillId="0" borderId="15" xfId="1" applyNumberFormat="1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164" fontId="17" fillId="0" borderId="0" xfId="0" applyNumberFormat="1" applyFont="1" applyAlignment="1">
      <alignment vertical="center"/>
    </xf>
    <xf numFmtId="164" fontId="17" fillId="5" borderId="16" xfId="1" applyNumberFormat="1" applyFont="1" applyFill="1" applyBorder="1" applyAlignment="1">
      <alignment vertical="center"/>
    </xf>
    <xf numFmtId="9" fontId="16" fillId="5" borderId="9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4" fontId="16" fillId="0" borderId="21" xfId="1" applyNumberFormat="1" applyFont="1" applyBorder="1" applyAlignment="1">
      <alignment vertical="center"/>
    </xf>
    <xf numFmtId="0" fontId="17" fillId="0" borderId="22" xfId="0" applyFont="1" applyBorder="1" applyAlignment="1">
      <alignment vertical="center"/>
    </xf>
    <xf numFmtId="164" fontId="17" fillId="0" borderId="23" xfId="0" applyNumberFormat="1" applyFont="1" applyBorder="1" applyAlignment="1">
      <alignment vertical="center"/>
    </xf>
    <xf numFmtId="164" fontId="17" fillId="0" borderId="24" xfId="0" applyNumberFormat="1" applyFont="1" applyBorder="1" applyAlignment="1">
      <alignment vertical="center"/>
    </xf>
    <xf numFmtId="164" fontId="16" fillId="4" borderId="24" xfId="0" applyNumberFormat="1" applyFont="1" applyFill="1" applyBorder="1" applyAlignment="1">
      <alignment vertical="center"/>
    </xf>
    <xf numFmtId="164" fontId="16" fillId="4" borderId="25" xfId="0" applyNumberFormat="1" applyFont="1" applyFill="1" applyBorder="1" applyAlignment="1">
      <alignment vertical="center"/>
    </xf>
    <xf numFmtId="164" fontId="16" fillId="5" borderId="20" xfId="0" applyNumberFormat="1" applyFont="1" applyFill="1" applyBorder="1" applyAlignment="1">
      <alignment vertical="center"/>
    </xf>
    <xf numFmtId="164" fontId="17" fillId="0" borderId="0" xfId="1" applyNumberFormat="1" applyFont="1" applyBorder="1" applyAlignment="1">
      <alignment vertical="center"/>
    </xf>
    <xf numFmtId="164" fontId="16" fillId="0" borderId="0" xfId="0" applyNumberFormat="1" applyFont="1" applyAlignment="1">
      <alignment vertical="center"/>
    </xf>
    <xf numFmtId="2" fontId="16" fillId="5" borderId="1" xfId="0" applyNumberFormat="1" applyFont="1" applyFill="1" applyBorder="1" applyAlignment="1">
      <alignment horizontal="center" vertical="center"/>
    </xf>
    <xf numFmtId="9" fontId="16" fillId="6" borderId="9" xfId="0" applyNumberFormat="1" applyFont="1" applyFill="1" applyBorder="1" applyAlignment="1">
      <alignment horizontal="center" vertical="center"/>
    </xf>
    <xf numFmtId="164" fontId="17" fillId="6" borderId="16" xfId="1" applyNumberFormat="1" applyFont="1" applyFill="1" applyBorder="1" applyAlignment="1">
      <alignment vertical="center"/>
    </xf>
    <xf numFmtId="164" fontId="17" fillId="6" borderId="1" xfId="0" applyNumberFormat="1" applyFont="1" applyFill="1" applyBorder="1" applyAlignment="1">
      <alignment vertical="center"/>
    </xf>
    <xf numFmtId="164" fontId="16" fillId="6" borderId="9" xfId="0" applyNumberFormat="1" applyFont="1" applyFill="1" applyBorder="1" applyAlignment="1">
      <alignment vertical="center"/>
    </xf>
    <xf numFmtId="164" fontId="16" fillId="6" borderId="20" xfId="0" applyNumberFormat="1" applyFont="1" applyFill="1" applyBorder="1" applyAlignment="1">
      <alignment vertical="center"/>
    </xf>
    <xf numFmtId="9" fontId="17" fillId="0" borderId="1" xfId="2" applyFont="1" applyFill="1" applyBorder="1" applyAlignment="1">
      <alignment horizontal="center" vertical="center"/>
    </xf>
    <xf numFmtId="9" fontId="16" fillId="0" borderId="1" xfId="2" applyFont="1" applyFill="1" applyBorder="1" applyAlignment="1">
      <alignment horizontal="center" vertical="center"/>
    </xf>
    <xf numFmtId="2" fontId="17" fillId="0" borderId="1" xfId="2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right" vertical="center"/>
    </xf>
    <xf numFmtId="0" fontId="0" fillId="0" borderId="13" xfId="0" applyBorder="1" applyAlignment="1">
      <alignment vertical="center"/>
    </xf>
    <xf numFmtId="2" fontId="16" fillId="5" borderId="26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 indent="1"/>
    </xf>
    <xf numFmtId="2" fontId="17" fillId="4" borderId="1" xfId="2" applyNumberFormat="1" applyFont="1" applyFill="1" applyBorder="1" applyAlignment="1">
      <alignment horizontal="center" vertical="center"/>
    </xf>
    <xf numFmtId="164" fontId="20" fillId="4" borderId="1" xfId="1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1" fontId="0" fillId="4" borderId="1" xfId="2" applyNumberFormat="1" applyFont="1" applyFill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165" fontId="0" fillId="4" borderId="1" xfId="2" applyNumberFormat="1" applyFont="1" applyFill="1" applyBorder="1" applyAlignment="1">
      <alignment horizontal="center" vertical="center"/>
    </xf>
    <xf numFmtId="166" fontId="0" fillId="0" borderId="1" xfId="3" applyNumberFormat="1" applyFont="1" applyBorder="1" applyAlignment="1">
      <alignment vertical="center"/>
    </xf>
    <xf numFmtId="166" fontId="0" fillId="0" borderId="11" xfId="3" applyNumberFormat="1" applyFont="1" applyBorder="1" applyAlignment="1">
      <alignment vertical="center"/>
    </xf>
    <xf numFmtId="0" fontId="0" fillId="3" borderId="27" xfId="0" applyFill="1" applyBorder="1" applyAlignment="1">
      <alignment vertical="center"/>
    </xf>
    <xf numFmtId="2" fontId="0" fillId="0" borderId="1" xfId="2" applyNumberFormat="1" applyFont="1" applyFill="1" applyBorder="1" applyAlignment="1">
      <alignment horizontal="center" vertical="center"/>
    </xf>
    <xf numFmtId="9" fontId="0" fillId="0" borderId="0" xfId="2" applyFont="1" applyAlignment="1">
      <alignment vertical="center"/>
    </xf>
    <xf numFmtId="0" fontId="1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2" fontId="14" fillId="0" borderId="9" xfId="2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9" fontId="2" fillId="9" borderId="1" xfId="2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39" xfId="0" applyBorder="1" applyAlignment="1">
      <alignment vertical="center"/>
    </xf>
    <xf numFmtId="2" fontId="14" fillId="0" borderId="1" xfId="2" applyNumberFormat="1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25" fillId="0" borderId="0" xfId="0" applyFont="1" applyAlignment="1">
      <alignment vertical="center"/>
    </xf>
    <xf numFmtId="0" fontId="0" fillId="3" borderId="0" xfId="0" applyFill="1" applyAlignment="1">
      <alignment horizontal="right" vertical="center"/>
    </xf>
    <xf numFmtId="0" fontId="12" fillId="0" borderId="35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166" fontId="0" fillId="0" borderId="6" xfId="3" applyNumberFormat="1" applyFont="1" applyBorder="1" applyAlignment="1">
      <alignment vertical="center"/>
    </xf>
    <xf numFmtId="166" fontId="0" fillId="0" borderId="0" xfId="3" applyNumberFormat="1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2" fillId="0" borderId="45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0" fillId="0" borderId="48" xfId="0" applyBorder="1" applyAlignment="1">
      <alignment horizontal="right" vertical="center"/>
    </xf>
    <xf numFmtId="0" fontId="12" fillId="0" borderId="45" xfId="0" applyFont="1" applyBorder="1" applyAlignment="1">
      <alignment vertical="center"/>
    </xf>
    <xf numFmtId="0" fontId="12" fillId="0" borderId="48" xfId="0" applyFont="1" applyBorder="1" applyAlignment="1">
      <alignment vertical="center"/>
    </xf>
    <xf numFmtId="164" fontId="12" fillId="0" borderId="48" xfId="1" applyNumberFormat="1" applyFont="1" applyBorder="1" applyAlignment="1">
      <alignment vertical="center"/>
    </xf>
    <xf numFmtId="0" fontId="1" fillId="0" borderId="43" xfId="0" applyFont="1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1" fillId="0" borderId="49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164" fontId="17" fillId="0" borderId="0" xfId="0" applyNumberFormat="1" applyFont="1" applyAlignment="1">
      <alignment horizontal="right" vertical="center"/>
    </xf>
    <xf numFmtId="0" fontId="2" fillId="11" borderId="1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9" fontId="35" fillId="0" borderId="1" xfId="0" applyNumberFormat="1" applyFont="1" applyBorder="1" applyAlignment="1">
      <alignment horizontal="center" vertical="center"/>
    </xf>
    <xf numFmtId="164" fontId="36" fillId="0" borderId="1" xfId="1" applyNumberFormat="1" applyFont="1" applyFill="1" applyBorder="1" applyAlignment="1">
      <alignment vertical="center"/>
    </xf>
    <xf numFmtId="164" fontId="36" fillId="0" borderId="1" xfId="1" applyNumberFormat="1" applyFont="1" applyBorder="1" applyAlignment="1">
      <alignment vertical="center"/>
    </xf>
    <xf numFmtId="0" fontId="36" fillId="0" borderId="1" xfId="0" applyFont="1" applyBorder="1" applyAlignment="1">
      <alignment horizontal="center" vertical="center"/>
    </xf>
    <xf numFmtId="164" fontId="36" fillId="4" borderId="1" xfId="0" applyNumberFormat="1" applyFont="1" applyFill="1" applyBorder="1" applyAlignment="1">
      <alignment vertical="center"/>
    </xf>
    <xf numFmtId="164" fontId="36" fillId="0" borderId="1" xfId="0" applyNumberFormat="1" applyFont="1" applyBorder="1" applyAlignment="1">
      <alignment vertical="center"/>
    </xf>
    <xf numFmtId="9" fontId="29" fillId="0" borderId="1" xfId="0" applyNumberFormat="1" applyFont="1" applyBorder="1" applyAlignment="1">
      <alignment horizontal="center" vertical="center"/>
    </xf>
    <xf numFmtId="164" fontId="20" fillId="4" borderId="1" xfId="1" applyNumberFormat="1" applyFont="1" applyFill="1" applyBorder="1" applyAlignment="1">
      <alignment horizontal="center" vertical="center"/>
    </xf>
    <xf numFmtId="0" fontId="16" fillId="0" borderId="52" xfId="0" applyFont="1" applyBorder="1" applyAlignment="1">
      <alignment vertical="center"/>
    </xf>
    <xf numFmtId="49" fontId="30" fillId="0" borderId="0" xfId="0" applyNumberFormat="1" applyFont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9" fontId="2" fillId="0" borderId="0" xfId="2" applyFont="1" applyAlignment="1">
      <alignment vertical="center"/>
    </xf>
    <xf numFmtId="1" fontId="37" fillId="3" borderId="1" xfId="2" applyNumberFormat="1" applyFont="1" applyFill="1" applyBorder="1" applyAlignment="1">
      <alignment horizontal="center" vertical="center"/>
    </xf>
    <xf numFmtId="165" fontId="37" fillId="3" borderId="1" xfId="2" applyNumberFormat="1" applyFont="1" applyFill="1" applyBorder="1" applyAlignment="1">
      <alignment horizontal="center" vertical="center"/>
    </xf>
    <xf numFmtId="9" fontId="37" fillId="3" borderId="1" xfId="2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38" xfId="0" applyFont="1" applyBorder="1" applyAlignment="1">
      <alignment vertical="center" wrapText="1"/>
    </xf>
    <xf numFmtId="9" fontId="0" fillId="4" borderId="9" xfId="0" applyNumberFormat="1" applyFill="1" applyBorder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164" fontId="27" fillId="0" borderId="0" xfId="1" applyNumberFormat="1" applyFont="1" applyBorder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6" fontId="37" fillId="3" borderId="37" xfId="3" applyNumberFormat="1" applyFont="1" applyFill="1" applyBorder="1" applyAlignment="1">
      <alignment vertical="center"/>
    </xf>
    <xf numFmtId="166" fontId="2" fillId="0" borderId="1" xfId="3" applyNumberFormat="1" applyFont="1" applyBorder="1" applyAlignment="1">
      <alignment vertical="center"/>
    </xf>
    <xf numFmtId="166" fontId="37" fillId="0" borderId="0" xfId="3" applyNumberFormat="1" applyFont="1" applyFill="1" applyBorder="1" applyAlignment="1">
      <alignment vertical="center"/>
    </xf>
    <xf numFmtId="166" fontId="2" fillId="0" borderId="0" xfId="3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" fontId="40" fillId="2" borderId="0" xfId="0" applyNumberFormat="1" applyFont="1" applyFill="1" applyAlignment="1">
      <alignment horizontal="center" vertical="center"/>
    </xf>
    <xf numFmtId="2" fontId="37" fillId="3" borderId="9" xfId="2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right" vertical="center"/>
    </xf>
    <xf numFmtId="0" fontId="4" fillId="0" borderId="2" xfId="1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1" fontId="41" fillId="3" borderId="1" xfId="0" applyNumberFormat="1" applyFont="1" applyFill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7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1" fontId="2" fillId="0" borderId="40" xfId="0" applyNumberFormat="1" applyFont="1" applyBorder="1" applyAlignment="1">
      <alignment horizontal="center" vertical="center"/>
    </xf>
    <xf numFmtId="10" fontId="12" fillId="0" borderId="28" xfId="2" applyNumberFormat="1" applyFont="1" applyBorder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39" fillId="13" borderId="0" xfId="0" applyFont="1" applyFill="1" applyAlignment="1">
      <alignment horizontal="center" vertical="center" wrapText="1"/>
    </xf>
    <xf numFmtId="0" fontId="39" fillId="13" borderId="0" xfId="0" applyFont="1" applyFill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164" fontId="12" fillId="0" borderId="48" xfId="1" applyNumberFormat="1" applyFont="1" applyBorder="1" applyAlignment="1">
      <alignment horizontal="right" vertical="center"/>
    </xf>
    <xf numFmtId="164" fontId="12" fillId="0" borderId="46" xfId="1" applyNumberFormat="1" applyFont="1" applyBorder="1" applyAlignment="1">
      <alignment horizontal="right" vertical="center"/>
    </xf>
    <xf numFmtId="0" fontId="28" fillId="0" borderId="0" xfId="0" applyFont="1" applyAlignment="1">
      <alignment horizontal="center" vertical="center"/>
    </xf>
    <xf numFmtId="164" fontId="2" fillId="9" borderId="9" xfId="1" applyNumberFormat="1" applyFont="1" applyFill="1" applyBorder="1" applyAlignment="1">
      <alignment horizontal="center" vertical="center"/>
    </xf>
    <xf numFmtId="164" fontId="2" fillId="9" borderId="8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4" fontId="0" fillId="0" borderId="0" xfId="0" applyNumberFormat="1" applyAlignment="1">
      <alignment horizontal="right" vertical="center"/>
    </xf>
    <xf numFmtId="164" fontId="13" fillId="0" borderId="9" xfId="1" applyNumberFormat="1" applyFont="1" applyBorder="1" applyAlignment="1">
      <alignment horizontal="center" vertical="center"/>
    </xf>
    <xf numFmtId="164" fontId="13" fillId="0" borderId="8" xfId="1" applyNumberFormat="1" applyFont="1" applyBorder="1" applyAlignment="1">
      <alignment horizontal="center" vertical="center"/>
    </xf>
    <xf numFmtId="164" fontId="2" fillId="7" borderId="9" xfId="1" applyNumberFormat="1" applyFont="1" applyFill="1" applyBorder="1" applyAlignment="1">
      <alignment horizontal="center" vertical="center"/>
    </xf>
    <xf numFmtId="164" fontId="2" fillId="7" borderId="8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" fontId="12" fillId="0" borderId="41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64" fontId="12" fillId="0" borderId="48" xfId="1" applyNumberFormat="1" applyFont="1" applyFill="1" applyBorder="1" applyAlignment="1">
      <alignment horizontal="center" vertical="center"/>
    </xf>
    <xf numFmtId="164" fontId="12" fillId="0" borderId="30" xfId="1" applyNumberFormat="1" applyFont="1" applyFill="1" applyBorder="1" applyAlignment="1">
      <alignment horizontal="center" vertical="center"/>
    </xf>
    <xf numFmtId="164" fontId="12" fillId="0" borderId="31" xfId="1" applyNumberFormat="1" applyFont="1" applyFill="1" applyBorder="1" applyAlignment="1">
      <alignment horizontal="center" vertical="center"/>
    </xf>
    <xf numFmtId="164" fontId="12" fillId="0" borderId="46" xfId="1" applyNumberFormat="1" applyFont="1" applyFill="1" applyBorder="1" applyAlignment="1">
      <alignment horizontal="center" vertical="center"/>
    </xf>
    <xf numFmtId="167" fontId="27" fillId="0" borderId="9" xfId="1" applyNumberFormat="1" applyFont="1" applyBorder="1" applyAlignment="1">
      <alignment horizontal="right" vertical="center"/>
    </xf>
    <xf numFmtId="167" fontId="27" fillId="0" borderId="8" xfId="1" applyNumberFormat="1" applyFont="1" applyBorder="1" applyAlignment="1">
      <alignment horizontal="right" vertical="center"/>
    </xf>
    <xf numFmtId="1" fontId="27" fillId="0" borderId="9" xfId="1" applyNumberFormat="1" applyFont="1" applyBorder="1" applyAlignment="1">
      <alignment horizontal="right" vertical="center"/>
    </xf>
    <xf numFmtId="1" fontId="27" fillId="0" borderId="8" xfId="1" applyNumberFormat="1" applyFont="1" applyBorder="1" applyAlignment="1">
      <alignment horizontal="right" vertical="center"/>
    </xf>
    <xf numFmtId="9" fontId="27" fillId="0" borderId="9" xfId="1" applyNumberFormat="1" applyFont="1" applyBorder="1" applyAlignment="1">
      <alignment horizontal="right" vertical="center"/>
    </xf>
    <xf numFmtId="9" fontId="27" fillId="0" borderId="8" xfId="1" applyNumberFormat="1" applyFont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164" fontId="2" fillId="9" borderId="1" xfId="1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right" vertical="center"/>
    </xf>
    <xf numFmtId="164" fontId="1" fillId="0" borderId="11" xfId="1" applyNumberFormat="1" applyFont="1" applyFill="1" applyBorder="1" applyAlignment="1">
      <alignment horizontal="center" vertical="center"/>
    </xf>
    <xf numFmtId="164" fontId="1" fillId="0" borderId="50" xfId="1" applyNumberFormat="1" applyFont="1" applyFill="1" applyBorder="1" applyAlignment="1">
      <alignment horizontal="center" vertical="center"/>
    </xf>
    <xf numFmtId="164" fontId="1" fillId="0" borderId="47" xfId="1" applyNumberFormat="1" applyFont="1" applyFill="1" applyBorder="1" applyAlignment="1">
      <alignment horizontal="center" vertical="center"/>
    </xf>
    <xf numFmtId="164" fontId="1" fillId="0" borderId="4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2" fontId="12" fillId="0" borderId="45" xfId="2" applyNumberFormat="1" applyFont="1" applyFill="1" applyBorder="1" applyAlignment="1">
      <alignment horizontal="right" vertical="center"/>
    </xf>
    <xf numFmtId="2" fontId="12" fillId="0" borderId="46" xfId="2" applyNumberFormat="1" applyFont="1" applyFill="1" applyBorder="1" applyAlignment="1">
      <alignment horizontal="right" vertical="center"/>
    </xf>
    <xf numFmtId="1" fontId="2" fillId="11" borderId="9" xfId="1" applyNumberFormat="1" applyFont="1" applyFill="1" applyBorder="1" applyAlignment="1">
      <alignment horizontal="center" vertical="center"/>
    </xf>
    <xf numFmtId="1" fontId="2" fillId="11" borderId="8" xfId="1" applyNumberFormat="1" applyFont="1" applyFill="1" applyBorder="1" applyAlignment="1">
      <alignment horizontal="center" vertical="center"/>
    </xf>
    <xf numFmtId="2" fontId="0" fillId="0" borderId="9" xfId="2" applyNumberFormat="1" applyFont="1" applyFill="1" applyBorder="1" applyAlignment="1">
      <alignment horizontal="right" vertical="center"/>
    </xf>
    <xf numFmtId="2" fontId="0" fillId="0" borderId="8" xfId="2" applyNumberFormat="1" applyFont="1" applyFill="1" applyBorder="1" applyAlignment="1">
      <alignment horizontal="right" vertical="center"/>
    </xf>
    <xf numFmtId="1" fontId="1" fillId="0" borderId="9" xfId="1" applyNumberFormat="1" applyFont="1" applyBorder="1" applyAlignment="1">
      <alignment horizontal="right" vertical="center"/>
    </xf>
    <xf numFmtId="1" fontId="1" fillId="0" borderId="8" xfId="1" applyNumberFormat="1" applyFont="1" applyBorder="1" applyAlignment="1">
      <alignment horizontal="right" vertical="center"/>
    </xf>
    <xf numFmtId="1" fontId="13" fillId="0" borderId="9" xfId="1" applyNumberFormat="1" applyFont="1" applyBorder="1" applyAlignment="1">
      <alignment horizontal="right" vertical="center"/>
    </xf>
    <xf numFmtId="1" fontId="13" fillId="0" borderId="8" xfId="1" applyNumberFormat="1" applyFont="1" applyBorder="1" applyAlignment="1">
      <alignment horizontal="right" vertical="center"/>
    </xf>
    <xf numFmtId="0" fontId="39" fillId="9" borderId="0" xfId="0" applyFont="1" applyFill="1" applyAlignment="1">
      <alignment horizontal="center" vertical="center" wrapText="1"/>
    </xf>
    <xf numFmtId="0" fontId="39" fillId="9" borderId="0" xfId="0" applyFont="1" applyFill="1" applyAlignment="1">
      <alignment horizontal="center" vertical="center"/>
    </xf>
    <xf numFmtId="0" fontId="2" fillId="10" borderId="0" xfId="1" applyNumberFormat="1" applyFont="1" applyFill="1" applyBorder="1" applyAlignment="1">
      <alignment horizontal="left" vertical="center"/>
    </xf>
    <xf numFmtId="164" fontId="2" fillId="10" borderId="9" xfId="1" applyNumberFormat="1" applyFont="1" applyFill="1" applyBorder="1" applyAlignment="1">
      <alignment horizontal="center" vertical="center"/>
    </xf>
    <xf numFmtId="164" fontId="2" fillId="10" borderId="8" xfId="1" applyNumberFormat="1" applyFont="1" applyFill="1" applyBorder="1" applyAlignment="1">
      <alignment horizontal="center" vertical="center"/>
    </xf>
    <xf numFmtId="1" fontId="14" fillId="0" borderId="9" xfId="1" applyNumberFormat="1" applyFont="1" applyBorder="1" applyAlignment="1">
      <alignment horizontal="center" vertical="center"/>
    </xf>
    <xf numFmtId="1" fontId="14" fillId="0" borderId="8" xfId="1" applyNumberFormat="1" applyFont="1" applyBorder="1" applyAlignment="1">
      <alignment horizontal="center" vertical="center"/>
    </xf>
    <xf numFmtId="164" fontId="2" fillId="8" borderId="9" xfId="1" applyNumberFormat="1" applyFont="1" applyFill="1" applyBorder="1" applyAlignment="1">
      <alignment horizontal="center" vertical="center"/>
    </xf>
    <xf numFmtId="164" fontId="2" fillId="8" borderId="8" xfId="1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3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9" fillId="8" borderId="0" xfId="0" applyFont="1" applyFill="1" applyAlignment="1">
      <alignment horizontal="center" vertical="center" wrapText="1"/>
    </xf>
    <xf numFmtId="0" fontId="39" fillId="8" borderId="0" xfId="0" applyFont="1" applyFill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0" fontId="39" fillId="7" borderId="0" xfId="0" applyFont="1" applyFill="1" applyAlignment="1">
      <alignment horizontal="center" vertical="center" wrapText="1"/>
    </xf>
    <xf numFmtId="0" fontId="39" fillId="7" borderId="0" xfId="0" applyFont="1" applyFill="1" applyAlignment="1">
      <alignment horizontal="center" vertical="center"/>
    </xf>
    <xf numFmtId="2" fontId="12" fillId="0" borderId="43" xfId="2" applyNumberFormat="1" applyFont="1" applyFill="1" applyBorder="1" applyAlignment="1">
      <alignment horizontal="right" vertical="center"/>
    </xf>
    <xf numFmtId="2" fontId="12" fillId="0" borderId="44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2" fillId="9" borderId="9" xfId="2" applyFont="1" applyFill="1" applyBorder="1" applyAlignment="1">
      <alignment horizontal="right" vertical="center"/>
    </xf>
    <xf numFmtId="9" fontId="2" fillId="9" borderId="8" xfId="2" applyFont="1" applyFill="1" applyBorder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11" fillId="0" borderId="38" xfId="0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right" vertical="center"/>
    </xf>
    <xf numFmtId="164" fontId="4" fillId="0" borderId="8" xfId="1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49" fontId="30" fillId="0" borderId="37" xfId="0" applyNumberFormat="1" applyFont="1" applyBorder="1" applyAlignment="1">
      <alignment horizontal="left" vertical="center" wrapText="1"/>
    </xf>
    <xf numFmtId="49" fontId="30" fillId="0" borderId="51" xfId="0" applyNumberFormat="1" applyFont="1" applyBorder="1" applyAlignment="1">
      <alignment horizontal="left" vertical="center" wrapText="1"/>
    </xf>
    <xf numFmtId="49" fontId="30" fillId="0" borderId="52" xfId="0" applyNumberFormat="1" applyFont="1" applyBorder="1" applyAlignment="1">
      <alignment horizontal="left" vertical="center" wrapText="1"/>
    </xf>
    <xf numFmtId="0" fontId="18" fillId="12" borderId="9" xfId="0" applyFont="1" applyFill="1" applyBorder="1" applyAlignment="1">
      <alignment vertical="center"/>
    </xf>
    <xf numFmtId="0" fontId="18" fillId="12" borderId="11" xfId="0" applyFont="1" applyFill="1" applyBorder="1" applyAlignment="1">
      <alignment vertical="center"/>
    </xf>
    <xf numFmtId="0" fontId="18" fillId="12" borderId="8" xfId="0" applyFont="1" applyFill="1" applyBorder="1" applyAlignment="1">
      <alignment vertical="center"/>
    </xf>
    <xf numFmtId="0" fontId="30" fillId="0" borderId="37" xfId="0" applyFont="1" applyBorder="1" applyAlignment="1">
      <alignment horizontal="left" vertical="center" wrapText="1"/>
    </xf>
    <xf numFmtId="0" fontId="30" fillId="0" borderId="52" xfId="0" applyFont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</cellXfs>
  <cellStyles count="4">
    <cellStyle name="Milliers" xfId="3" builtinId="3"/>
    <cellStyle name="Monétaire" xfId="1" builtinId="4"/>
    <cellStyle name="Normal" xfId="0" builtinId="0"/>
    <cellStyle name="Pourcentage" xfId="2" builtinId="5"/>
  </cellStyles>
  <dxfs count="21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sv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64345</xdr:colOff>
      <xdr:row>7</xdr:row>
      <xdr:rowOff>108373</xdr:rowOff>
    </xdr:from>
    <xdr:ext cx="328061" cy="453539"/>
    <xdr:pic>
      <xdr:nvPicPr>
        <xdr:cNvPr id="2" name="Picture 16" descr="FDA700 all in one printer pda">
          <a:extLst>
            <a:ext uri="{FF2B5EF4-FFF2-40B4-BE49-F238E27FC236}">
              <a16:creationId xmlns:a16="http://schemas.microsoft.com/office/drawing/2014/main" id="{8203FCAA-3896-42E3-8EC7-AB22240334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8" r="14338"/>
        <a:stretch/>
      </xdr:blipFill>
      <xdr:spPr bwMode="auto">
        <a:xfrm flipH="1">
          <a:off x="64345" y="1472353"/>
          <a:ext cx="328061" cy="453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186665</xdr:colOff>
      <xdr:row>7</xdr:row>
      <xdr:rowOff>108373</xdr:rowOff>
    </xdr:from>
    <xdr:ext cx="357086" cy="550333"/>
    <xdr:pic>
      <xdr:nvPicPr>
        <xdr:cNvPr id="3" name="Image 2">
          <a:extLst>
            <a:ext uri="{FF2B5EF4-FFF2-40B4-BE49-F238E27FC236}">
              <a16:creationId xmlns:a16="http://schemas.microsoft.com/office/drawing/2014/main" id="{0D3DBDA3-FB6C-4FBA-8510-490870E9B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AFAFA"/>
            </a:clrFrom>
            <a:clrTo>
              <a:srgbClr val="FAFAFA">
                <a:alpha val="0"/>
              </a:srgbClr>
            </a:clrTo>
          </a:clrChange>
        </a:blip>
        <a:srcRect l="43986" t="27988"/>
        <a:stretch/>
      </xdr:blipFill>
      <xdr:spPr>
        <a:xfrm flipH="1">
          <a:off x="4072865" y="1472353"/>
          <a:ext cx="357086" cy="550333"/>
        </a:xfrm>
        <a:prstGeom prst="rect">
          <a:avLst/>
        </a:prstGeom>
      </xdr:spPr>
    </xdr:pic>
    <xdr:clientData/>
  </xdr:oneCellAnchor>
  <xdr:oneCellAnchor>
    <xdr:from>
      <xdr:col>0</xdr:col>
      <xdr:colOff>72812</xdr:colOff>
      <xdr:row>14</xdr:row>
      <xdr:rowOff>93134</xdr:rowOff>
    </xdr:from>
    <xdr:ext cx="308071" cy="448733"/>
    <xdr:pic>
      <xdr:nvPicPr>
        <xdr:cNvPr id="4" name="Picture 18">
          <a:extLst>
            <a:ext uri="{FF2B5EF4-FFF2-40B4-BE49-F238E27FC236}">
              <a16:creationId xmlns:a16="http://schemas.microsoft.com/office/drawing/2014/main" id="{D16C1817-DAA2-4877-87BC-F0C710EC4D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690" t="7759" r="21906" b="11541"/>
        <a:stretch/>
      </xdr:blipFill>
      <xdr:spPr bwMode="auto">
        <a:xfrm>
          <a:off x="72812" y="2661074"/>
          <a:ext cx="308071" cy="448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204045</xdr:colOff>
      <xdr:row>14</xdr:row>
      <xdr:rowOff>93134</xdr:rowOff>
    </xdr:from>
    <xdr:ext cx="308071" cy="448733"/>
    <xdr:pic>
      <xdr:nvPicPr>
        <xdr:cNvPr id="5" name="Picture 18">
          <a:extLst>
            <a:ext uri="{FF2B5EF4-FFF2-40B4-BE49-F238E27FC236}">
              <a16:creationId xmlns:a16="http://schemas.microsoft.com/office/drawing/2014/main" id="{DA60AF34-28E5-4F0D-9B54-FD6BCAE5D3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690" t="7759" r="21906" b="11541"/>
        <a:stretch/>
      </xdr:blipFill>
      <xdr:spPr bwMode="auto">
        <a:xfrm>
          <a:off x="4090245" y="2661074"/>
          <a:ext cx="308071" cy="448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203200</xdr:colOff>
      <xdr:row>7</xdr:row>
      <xdr:rowOff>108373</xdr:rowOff>
    </xdr:from>
    <xdr:ext cx="327378" cy="491066"/>
    <xdr:pic>
      <xdr:nvPicPr>
        <xdr:cNvPr id="8" name="Picture 14" descr="Eat Machine - Frigo connectés | Eat Machine">
          <a:extLst>
            <a:ext uri="{FF2B5EF4-FFF2-40B4-BE49-F238E27FC236}">
              <a16:creationId xmlns:a16="http://schemas.microsoft.com/office/drawing/2014/main" id="{FDF769DD-BB21-477C-9F8E-DC25E2CAA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5700" y="1472353"/>
          <a:ext cx="327378" cy="491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15</xdr:col>
      <xdr:colOff>203200</xdr:colOff>
      <xdr:row>14</xdr:row>
      <xdr:rowOff>93134</xdr:rowOff>
    </xdr:from>
    <xdr:to>
      <xdr:col>16</xdr:col>
      <xdr:colOff>298450</xdr:colOff>
      <xdr:row>17</xdr:row>
      <xdr:rowOff>20109</xdr:rowOff>
    </xdr:to>
    <xdr:pic>
      <xdr:nvPicPr>
        <xdr:cNvPr id="9" name="Graphique 8">
          <a:extLst>
            <a:ext uri="{FF2B5EF4-FFF2-40B4-BE49-F238E27FC236}">
              <a16:creationId xmlns:a16="http://schemas.microsoft.com/office/drawing/2014/main" id="{02B9D3B6-56E6-9A5D-1E96-CC6C7CCB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775700" y="2661074"/>
          <a:ext cx="323850" cy="4756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102445</xdr:colOff>
      <xdr:row>7</xdr:row>
      <xdr:rowOff>164528</xdr:rowOff>
    </xdr:from>
    <xdr:ext cx="328061" cy="453539"/>
    <xdr:pic>
      <xdr:nvPicPr>
        <xdr:cNvPr id="2" name="Picture 16" descr="FDA700 all in one printer pda">
          <a:extLst>
            <a:ext uri="{FF2B5EF4-FFF2-40B4-BE49-F238E27FC236}">
              <a16:creationId xmlns:a16="http://schemas.microsoft.com/office/drawing/2014/main" id="{95646267-3A65-4966-8BE2-4A6DA1C647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8" r="14338"/>
        <a:stretch/>
      </xdr:blipFill>
      <xdr:spPr bwMode="auto">
        <a:xfrm flipH="1">
          <a:off x="209125" y="1619948"/>
          <a:ext cx="328061" cy="453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110465</xdr:colOff>
      <xdr:row>7</xdr:row>
      <xdr:rowOff>93133</xdr:rowOff>
    </xdr:from>
    <xdr:ext cx="357086" cy="550333"/>
    <xdr:pic>
      <xdr:nvPicPr>
        <xdr:cNvPr id="3" name="Image 2">
          <a:extLst>
            <a:ext uri="{FF2B5EF4-FFF2-40B4-BE49-F238E27FC236}">
              <a16:creationId xmlns:a16="http://schemas.microsoft.com/office/drawing/2014/main" id="{9E998412-8EEF-424F-917E-39B7C7CBA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AFAFA"/>
            </a:clrFrom>
            <a:clrTo>
              <a:srgbClr val="FAFAFA">
                <a:alpha val="0"/>
              </a:srgbClr>
            </a:clrTo>
          </a:clrChange>
        </a:blip>
        <a:srcRect l="43986" t="27988"/>
        <a:stretch/>
      </xdr:blipFill>
      <xdr:spPr>
        <a:xfrm flipH="1">
          <a:off x="3143225" y="1548553"/>
          <a:ext cx="357086" cy="550333"/>
        </a:xfrm>
        <a:prstGeom prst="rect">
          <a:avLst/>
        </a:prstGeom>
      </xdr:spPr>
    </xdr:pic>
    <xdr:clientData/>
  </xdr:oneCellAnchor>
  <xdr:oneCellAnchor>
    <xdr:from>
      <xdr:col>1</xdr:col>
      <xdr:colOff>118532</xdr:colOff>
      <xdr:row>14</xdr:row>
      <xdr:rowOff>93134</xdr:rowOff>
    </xdr:from>
    <xdr:ext cx="308071" cy="448733"/>
    <xdr:pic>
      <xdr:nvPicPr>
        <xdr:cNvPr id="4" name="Picture 18">
          <a:extLst>
            <a:ext uri="{FF2B5EF4-FFF2-40B4-BE49-F238E27FC236}">
              <a16:creationId xmlns:a16="http://schemas.microsoft.com/office/drawing/2014/main" id="{6AA1CE5F-8825-443F-9425-E94BB213C6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690" t="7759" r="21906" b="11541"/>
        <a:stretch/>
      </xdr:blipFill>
      <xdr:spPr bwMode="auto">
        <a:xfrm>
          <a:off x="225212" y="2752514"/>
          <a:ext cx="308071" cy="448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135465</xdr:colOff>
      <xdr:row>14</xdr:row>
      <xdr:rowOff>93134</xdr:rowOff>
    </xdr:from>
    <xdr:ext cx="308071" cy="448733"/>
    <xdr:pic>
      <xdr:nvPicPr>
        <xdr:cNvPr id="5" name="Picture 18">
          <a:extLst>
            <a:ext uri="{FF2B5EF4-FFF2-40B4-BE49-F238E27FC236}">
              <a16:creationId xmlns:a16="http://schemas.microsoft.com/office/drawing/2014/main" id="{718A3043-2DD5-48C5-AEA8-FB321E3EC8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690" t="7759" r="21906" b="11541"/>
        <a:stretch/>
      </xdr:blipFill>
      <xdr:spPr bwMode="auto">
        <a:xfrm>
          <a:off x="3168225" y="2752514"/>
          <a:ext cx="308071" cy="4487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127000</xdr:colOff>
      <xdr:row>7</xdr:row>
      <xdr:rowOff>127001</xdr:rowOff>
    </xdr:from>
    <xdr:ext cx="327378" cy="491066"/>
    <xdr:pic>
      <xdr:nvPicPr>
        <xdr:cNvPr id="6" name="Picture 14" descr="Eat Machine - Frigo connectés | Eat Machine">
          <a:extLst>
            <a:ext uri="{FF2B5EF4-FFF2-40B4-BE49-F238E27FC236}">
              <a16:creationId xmlns:a16="http://schemas.microsoft.com/office/drawing/2014/main" id="{A5670A6D-3B3F-4BDB-B44A-8979ED3FB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5840" y="1582421"/>
          <a:ext cx="327378" cy="491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13</xdr:col>
      <xdr:colOff>127000</xdr:colOff>
      <xdr:row>14</xdr:row>
      <xdr:rowOff>127001</xdr:rowOff>
    </xdr:from>
    <xdr:to>
      <xdr:col>13</xdr:col>
      <xdr:colOff>450850</xdr:colOff>
      <xdr:row>17</xdr:row>
      <xdr:rowOff>53976</xdr:rowOff>
    </xdr:to>
    <xdr:pic>
      <xdr:nvPicPr>
        <xdr:cNvPr id="7" name="Graphique 6">
          <a:extLst>
            <a:ext uri="{FF2B5EF4-FFF2-40B4-BE49-F238E27FC236}">
              <a16:creationId xmlns:a16="http://schemas.microsoft.com/office/drawing/2014/main" id="{00C902CE-48F5-4F8E-9C6D-A8648A017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085840" y="2786381"/>
          <a:ext cx="323850" cy="4756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TRAND Thomas" id="{4679FE03-AAFF-48E9-B310-90CE8458D536}" userId="S::Thomas.BERTRAND@accor.com::9c1a84fc-6fe0-4319-acce-e356da3460a5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66" dT="2025-10-20T16:10:16.79" personId="{4679FE03-AAFF-48E9-B310-90CE8458D536}" id="{1A7A519E-6296-4FE5-93DC-CB380AD8A795}">
    <text>Ne pas modifier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66" dT="2025-10-20T16:10:16.79" personId="{4679FE03-AAFF-48E9-B310-90CE8458D536}" id="{14AFF51F-3663-4FA2-BED3-71A7C993A5AE}">
    <text>Ne pas modifier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66" dT="2025-10-20T16:10:16.79" personId="{4679FE03-AAFF-48E9-B310-90CE8458D536}" id="{32C93C77-C608-4381-A13C-C796F940A9A3}">
    <text>Ne pas modifier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95FD-0515-4B77-AF9F-825A4CE27C05}">
  <sheetPr>
    <tabColor theme="1"/>
  </sheetPr>
  <dimension ref="B1:T187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1" customWidth="1"/>
    <col min="2" max="2" width="10.33203125" style="32" customWidth="1"/>
    <col min="3" max="3" width="10.33203125" style="1" customWidth="1"/>
    <col min="4" max="4" width="1.6640625" style="1" customWidth="1"/>
    <col min="5" max="5" width="6.77734375" style="1" customWidth="1"/>
    <col min="6" max="6" width="10.33203125" style="1" customWidth="1"/>
    <col min="7" max="7" width="1.6640625" style="1" customWidth="1"/>
    <col min="8" max="8" width="6.77734375" style="1" customWidth="1"/>
    <col min="9" max="10" width="10.33203125" style="1" customWidth="1"/>
    <col min="11" max="11" width="1.5546875" style="1" customWidth="1"/>
    <col min="12" max="12" width="10.33203125" style="32" customWidth="1"/>
    <col min="13" max="13" width="10.33203125" style="1" customWidth="1"/>
    <col min="14" max="14" width="1.6640625" style="1" customWidth="1"/>
    <col min="15" max="15" width="6.77734375" style="1" customWidth="1"/>
    <col min="16" max="16" width="10.33203125" style="1" customWidth="1"/>
    <col min="17" max="17" width="1.6640625" style="1" customWidth="1"/>
    <col min="18" max="18" width="6.77734375" style="1" customWidth="1"/>
    <col min="19" max="20" width="10.33203125" style="1" customWidth="1"/>
    <col min="21" max="16384" width="11.44140625" style="1"/>
  </cols>
  <sheetData>
    <row r="1" spans="2:20" ht="8.5500000000000007" customHeight="1" x14ac:dyDescent="0.3"/>
    <row r="2" spans="2:20" ht="37.950000000000003" customHeight="1" x14ac:dyDescent="0.3">
      <c r="B2" s="13" t="s">
        <v>140</v>
      </c>
      <c r="C2" s="12"/>
      <c r="D2" s="11"/>
      <c r="E2" s="10"/>
      <c r="F2" s="10"/>
      <c r="G2" s="11"/>
      <c r="H2" s="10"/>
      <c r="I2" s="10"/>
      <c r="J2" s="10"/>
      <c r="K2" s="13"/>
      <c r="L2" s="13"/>
      <c r="M2" s="12"/>
      <c r="N2" s="11"/>
      <c r="O2" s="10"/>
      <c r="P2" s="10"/>
      <c r="Q2" s="11"/>
      <c r="R2" s="10"/>
      <c r="S2" s="10"/>
      <c r="T2" s="10"/>
    </row>
    <row r="3" spans="2:20" ht="9" customHeight="1" x14ac:dyDescent="0.3"/>
    <row r="4" spans="2:20" ht="28.2" customHeight="1" x14ac:dyDescent="0.3">
      <c r="B4" s="240" t="s">
        <v>16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</row>
    <row r="5" spans="2:20" ht="25.8" customHeight="1" x14ac:dyDescent="0.3">
      <c r="B5" s="242" t="s">
        <v>182</v>
      </c>
      <c r="C5" s="243"/>
      <c r="D5" s="243"/>
      <c r="E5" s="243"/>
      <c r="F5" s="243"/>
      <c r="G5" s="243"/>
      <c r="H5" s="243"/>
      <c r="I5" s="243"/>
      <c r="J5" s="243"/>
      <c r="K5" s="88"/>
      <c r="L5" s="243" t="s">
        <v>132</v>
      </c>
      <c r="M5" s="243"/>
      <c r="N5" s="243"/>
      <c r="O5" s="243"/>
      <c r="P5" s="243"/>
      <c r="Q5" s="243"/>
      <c r="R5" s="243"/>
      <c r="S5" s="243"/>
      <c r="T5" s="243"/>
    </row>
    <row r="6" spans="2:20" ht="9" customHeight="1" x14ac:dyDescent="0.3">
      <c r="K6" s="88"/>
    </row>
    <row r="7" spans="2:20" x14ac:dyDescent="0.3">
      <c r="B7" s="196" t="s">
        <v>105</v>
      </c>
      <c r="C7" s="196"/>
      <c r="E7" s="196" t="s">
        <v>21</v>
      </c>
      <c r="F7" s="196"/>
      <c r="H7" s="196" t="s">
        <v>142</v>
      </c>
      <c r="I7" s="196"/>
      <c r="J7" s="196"/>
      <c r="K7" s="88"/>
      <c r="L7" s="196" t="s">
        <v>105</v>
      </c>
      <c r="M7" s="196"/>
      <c r="O7" s="196" t="s">
        <v>21</v>
      </c>
      <c r="P7" s="196"/>
      <c r="R7" s="196" t="s">
        <v>142</v>
      </c>
      <c r="S7" s="196"/>
      <c r="T7" s="196"/>
    </row>
    <row r="8" spans="2:20" x14ac:dyDescent="0.3">
      <c r="I8" s="4"/>
      <c r="J8" s="4" t="s">
        <v>22</v>
      </c>
      <c r="K8" s="88"/>
      <c r="S8" s="4"/>
      <c r="T8" s="4" t="s">
        <v>22</v>
      </c>
    </row>
    <row r="9" spans="2:20" x14ac:dyDescent="0.3">
      <c r="B9" s="1" t="s">
        <v>106</v>
      </c>
      <c r="C9" s="138">
        <v>129</v>
      </c>
      <c r="E9" s="1" t="s">
        <v>23</v>
      </c>
      <c r="F9" s="138">
        <v>6</v>
      </c>
      <c r="H9" s="15" t="s">
        <v>0</v>
      </c>
      <c r="I9" s="140">
        <v>0.4</v>
      </c>
      <c r="J9" s="155">
        <v>2.6</v>
      </c>
      <c r="K9" s="88"/>
      <c r="L9" s="1" t="s">
        <v>106</v>
      </c>
      <c r="M9" s="83">
        <v>100</v>
      </c>
      <c r="O9" s="1" t="s">
        <v>23</v>
      </c>
      <c r="P9" s="83">
        <v>3</v>
      </c>
      <c r="R9" s="15" t="s">
        <v>0</v>
      </c>
      <c r="S9" s="84">
        <v>0.7</v>
      </c>
      <c r="T9" s="89">
        <v>2.6</v>
      </c>
    </row>
    <row r="10" spans="2:20" x14ac:dyDescent="0.3">
      <c r="B10" s="1" t="s">
        <v>107</v>
      </c>
      <c r="C10" s="139">
        <v>1.7</v>
      </c>
      <c r="H10" s="15" t="s">
        <v>26</v>
      </c>
      <c r="I10" s="140">
        <v>0.6</v>
      </c>
      <c r="J10" s="155">
        <v>1.45</v>
      </c>
      <c r="K10" s="88"/>
      <c r="L10" s="1" t="s">
        <v>170</v>
      </c>
      <c r="M10" s="85">
        <v>1.5</v>
      </c>
      <c r="R10" s="15" t="s">
        <v>26</v>
      </c>
      <c r="S10" s="84">
        <v>0.3</v>
      </c>
      <c r="T10" s="89">
        <v>1.45</v>
      </c>
    </row>
    <row r="11" spans="2:20" x14ac:dyDescent="0.3">
      <c r="B11" s="1" t="s">
        <v>141</v>
      </c>
      <c r="C11" s="140">
        <v>0.8</v>
      </c>
      <c r="H11" s="1" t="s">
        <v>82</v>
      </c>
      <c r="I11" s="4"/>
      <c r="J11" s="93">
        <f>SUMPRODUCT(J9:J10,I9:I10)/SUM(I9:I10)</f>
        <v>1.9100000000000001</v>
      </c>
      <c r="K11" s="88"/>
      <c r="L11" s="1" t="s">
        <v>141</v>
      </c>
      <c r="M11" s="84">
        <v>0.8</v>
      </c>
      <c r="R11" s="1" t="s">
        <v>82</v>
      </c>
      <c r="S11" s="4"/>
      <c r="T11" s="100">
        <f>SUMPRODUCT(T9:T10,S9:S10)/SUM(S9:S10)</f>
        <v>2.2549999999999999</v>
      </c>
    </row>
    <row r="12" spans="2:20" x14ac:dyDescent="0.3">
      <c r="K12" s="88"/>
    </row>
    <row r="13" spans="2:20" x14ac:dyDescent="0.3">
      <c r="B13" s="196" t="s">
        <v>36</v>
      </c>
      <c r="C13" s="196"/>
      <c r="K13" s="88"/>
      <c r="L13" s="196" t="s">
        <v>36</v>
      </c>
      <c r="M13" s="196"/>
    </row>
    <row r="14" spans="2:20" ht="9" customHeight="1" x14ac:dyDescent="0.3">
      <c r="K14" s="88"/>
    </row>
    <row r="15" spans="2:20" x14ac:dyDescent="0.3">
      <c r="B15" s="1" t="s">
        <v>109</v>
      </c>
      <c r="C15" s="86">
        <f>C9*C11</f>
        <v>103.2</v>
      </c>
      <c r="D15" s="1" t="s">
        <v>108</v>
      </c>
      <c r="K15" s="88"/>
      <c r="L15" s="1" t="s">
        <v>109</v>
      </c>
      <c r="M15" s="86">
        <f>M9*M11</f>
        <v>80</v>
      </c>
      <c r="N15" s="1" t="s">
        <v>108</v>
      </c>
    </row>
    <row r="16" spans="2:20" x14ac:dyDescent="0.3">
      <c r="B16" s="1" t="s">
        <v>69</v>
      </c>
      <c r="C16" s="86">
        <f>(C10*C9)*C11</f>
        <v>175.44</v>
      </c>
      <c r="D16" s="1" t="s">
        <v>72</v>
      </c>
      <c r="K16" s="88"/>
      <c r="L16" s="1" t="s">
        <v>69</v>
      </c>
      <c r="M16" s="86">
        <f>(M10*M9)*M11</f>
        <v>120</v>
      </c>
      <c r="N16" s="1" t="s">
        <v>72</v>
      </c>
    </row>
    <row r="17" spans="2:20" x14ac:dyDescent="0.3">
      <c r="B17" s="1" t="s">
        <v>69</v>
      </c>
      <c r="C17" s="86">
        <f>C16*30.5</f>
        <v>5350.92</v>
      </c>
      <c r="D17" s="1" t="s">
        <v>73</v>
      </c>
      <c r="K17" s="88"/>
      <c r="L17" s="1" t="s">
        <v>69</v>
      </c>
      <c r="M17" s="86">
        <f>M16*30.5</f>
        <v>3660</v>
      </c>
      <c r="N17" s="1" t="s">
        <v>73</v>
      </c>
    </row>
    <row r="18" spans="2:20" x14ac:dyDescent="0.3">
      <c r="B18" s="1"/>
      <c r="C18" s="87"/>
      <c r="K18" s="88"/>
      <c r="L18" s="1"/>
      <c r="M18" s="106"/>
    </row>
    <row r="19" spans="2:20" x14ac:dyDescent="0.3">
      <c r="B19" s="1" t="s">
        <v>71</v>
      </c>
      <c r="C19" s="149">
        <v>231</v>
      </c>
      <c r="D19" s="1" t="s">
        <v>74</v>
      </c>
      <c r="K19" s="88"/>
      <c r="L19" s="1" t="s">
        <v>71</v>
      </c>
      <c r="M19" s="150">
        <f>M17*$C$21</f>
        <v>158.00273597811216</v>
      </c>
      <c r="N19" s="1" t="s">
        <v>143</v>
      </c>
    </row>
    <row r="20" spans="2:20" ht="7.8" customHeight="1" thickBot="1" x14ac:dyDescent="0.35">
      <c r="B20" s="1"/>
      <c r="C20" s="151"/>
      <c r="K20" s="88"/>
      <c r="L20" s="1"/>
      <c r="M20" s="152"/>
    </row>
    <row r="21" spans="2:20" ht="15" thickBot="1" x14ac:dyDescent="0.35">
      <c r="B21" s="1"/>
      <c r="C21" s="166">
        <f>C19/C17</f>
        <v>4.3170146442107149E-2</v>
      </c>
      <c r="D21" s="91" t="s">
        <v>92</v>
      </c>
      <c r="K21" s="88"/>
      <c r="L21" s="1"/>
      <c r="M21" s="107"/>
    </row>
    <row r="22" spans="2:20" ht="14.4" customHeight="1" x14ac:dyDescent="0.3">
      <c r="K22" s="88"/>
    </row>
    <row r="23" spans="2:20" ht="9" customHeight="1" x14ac:dyDescent="0.3">
      <c r="B23" s="103"/>
      <c r="C23" s="11"/>
      <c r="D23" s="11"/>
      <c r="E23" s="11"/>
      <c r="F23" s="11"/>
      <c r="G23" s="11"/>
      <c r="H23" s="11"/>
      <c r="I23" s="11"/>
      <c r="J23" s="11"/>
      <c r="K23" s="11"/>
      <c r="L23" s="103"/>
      <c r="M23" s="11"/>
      <c r="N23" s="11"/>
      <c r="O23" s="11"/>
      <c r="P23" s="11"/>
      <c r="Q23" s="11"/>
      <c r="R23" s="11"/>
      <c r="S23" s="11"/>
      <c r="T23" s="11"/>
    </row>
    <row r="24" spans="2:20" ht="29.4" customHeight="1" x14ac:dyDescent="0.3">
      <c r="B24" s="231" t="s">
        <v>144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</row>
    <row r="25" spans="2:20" ht="29.4" customHeight="1" x14ac:dyDescent="0.3">
      <c r="B25" s="252" t="s">
        <v>93</v>
      </c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</row>
    <row r="26" spans="2:20" ht="7.8" customHeight="1" x14ac:dyDescent="0.3">
      <c r="K26" s="88"/>
    </row>
    <row r="27" spans="2:20" x14ac:dyDescent="0.3">
      <c r="B27" s="91" t="s">
        <v>80</v>
      </c>
      <c r="C27" s="91" t="s">
        <v>110</v>
      </c>
      <c r="K27" s="88"/>
      <c r="L27" s="98"/>
    </row>
    <row r="28" spans="2:20" ht="14.4" customHeight="1" x14ac:dyDescent="0.3">
      <c r="B28" s="91"/>
      <c r="C28" s="193" t="s">
        <v>95</v>
      </c>
      <c r="D28" s="258"/>
      <c r="E28" s="258"/>
      <c r="F28" s="258"/>
      <c r="G28" s="258"/>
      <c r="H28" s="258"/>
      <c r="I28" s="258"/>
      <c r="J28" s="259"/>
      <c r="K28" s="88"/>
      <c r="L28" s="99"/>
    </row>
    <row r="29" spans="2:20" x14ac:dyDescent="0.3">
      <c r="B29" s="91"/>
      <c r="C29" s="258"/>
      <c r="D29" s="258"/>
      <c r="E29" s="258"/>
      <c r="F29" s="258"/>
      <c r="G29" s="258"/>
      <c r="H29" s="258"/>
      <c r="I29" s="258"/>
      <c r="J29" s="259"/>
      <c r="K29" s="88"/>
      <c r="L29" s="99"/>
    </row>
    <row r="30" spans="2:20" ht="14.4" customHeight="1" thickBot="1" x14ac:dyDescent="0.35">
      <c r="B30" s="91"/>
      <c r="C30" s="141"/>
      <c r="D30" s="141"/>
      <c r="E30" s="141"/>
      <c r="F30" s="141"/>
      <c r="G30" s="141"/>
      <c r="H30" s="141"/>
      <c r="I30" s="141"/>
      <c r="J30" s="142"/>
      <c r="K30" s="88"/>
      <c r="L30" s="99"/>
    </row>
    <row r="31" spans="2:20" ht="15" thickBot="1" x14ac:dyDescent="0.35">
      <c r="C31" s="197">
        <f>C17*$C$21</f>
        <v>231</v>
      </c>
      <c r="D31" s="198"/>
      <c r="E31" s="104" t="s">
        <v>94</v>
      </c>
      <c r="F31" s="8"/>
      <c r="G31" s="8"/>
      <c r="K31" s="88"/>
      <c r="L31" s="99"/>
      <c r="M31" s="165">
        <f>M17*$C$21</f>
        <v>158.00273597811216</v>
      </c>
      <c r="N31" s="105" t="s">
        <v>94</v>
      </c>
    </row>
    <row r="32" spans="2:20" ht="9" customHeight="1" x14ac:dyDescent="0.3">
      <c r="K32" s="88"/>
    </row>
    <row r="33" spans="2:20" ht="15" thickBot="1" x14ac:dyDescent="0.35">
      <c r="E33" s="195" t="s">
        <v>24</v>
      </c>
      <c r="F33" s="195"/>
      <c r="G33" s="8"/>
      <c r="H33" s="195" t="s">
        <v>25</v>
      </c>
      <c r="I33" s="195"/>
      <c r="K33" s="88"/>
      <c r="O33" s="187" t="s">
        <v>24</v>
      </c>
      <c r="P33" s="187"/>
      <c r="R33" s="187"/>
      <c r="S33" s="187"/>
    </row>
    <row r="34" spans="2:20" x14ac:dyDescent="0.3">
      <c r="C34" s="110" t="s">
        <v>0</v>
      </c>
      <c r="D34" s="97"/>
      <c r="E34" s="200">
        <v>533</v>
      </c>
      <c r="F34" s="200"/>
      <c r="G34" s="97"/>
      <c r="H34" s="200">
        <v>587</v>
      </c>
      <c r="I34" s="201"/>
      <c r="J34" s="90"/>
      <c r="K34" s="88"/>
      <c r="M34" s="82" t="s">
        <v>0</v>
      </c>
      <c r="O34" s="185">
        <f>($M$31*E34)/$C$31</f>
        <v>364.56908344733239</v>
      </c>
      <c r="P34" s="186"/>
      <c r="R34" s="187"/>
      <c r="S34" s="187"/>
      <c r="T34" s="90"/>
    </row>
    <row r="35" spans="2:20" ht="15" thickBot="1" x14ac:dyDescent="0.35">
      <c r="C35" s="109" t="s">
        <v>26</v>
      </c>
      <c r="D35" s="111"/>
      <c r="E35" s="199">
        <v>187</v>
      </c>
      <c r="F35" s="199"/>
      <c r="G35" s="111"/>
      <c r="H35" s="199">
        <v>224</v>
      </c>
      <c r="I35" s="202"/>
      <c r="J35" s="90"/>
      <c r="K35" s="88"/>
      <c r="M35" s="82" t="s">
        <v>26</v>
      </c>
      <c r="N35" s="32"/>
      <c r="O35" s="185">
        <f>($M$31*E35)/$C$31</f>
        <v>127.90697674418604</v>
      </c>
      <c r="P35" s="186"/>
      <c r="R35" s="187"/>
      <c r="S35" s="187"/>
      <c r="T35" s="90"/>
    </row>
    <row r="36" spans="2:20" ht="14.4" customHeight="1" x14ac:dyDescent="0.3">
      <c r="K36" s="88"/>
    </row>
    <row r="37" spans="2:20" ht="9" customHeight="1" x14ac:dyDescent="0.3">
      <c r="B37" s="103"/>
      <c r="C37" s="11"/>
      <c r="D37" s="11"/>
      <c r="E37" s="11"/>
      <c r="F37" s="11"/>
      <c r="G37" s="11"/>
      <c r="H37" s="11"/>
      <c r="I37" s="11"/>
      <c r="J37" s="11"/>
      <c r="K37" s="11"/>
      <c r="L37" s="103"/>
      <c r="M37" s="11"/>
      <c r="N37" s="11"/>
      <c r="O37" s="11"/>
      <c r="P37" s="11"/>
      <c r="Q37" s="11"/>
      <c r="R37" s="11"/>
      <c r="S37" s="11"/>
      <c r="T37" s="11"/>
    </row>
    <row r="38" spans="2:20" ht="29.4" customHeight="1" x14ac:dyDescent="0.3">
      <c r="B38" s="231" t="s">
        <v>145</v>
      </c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</row>
    <row r="39" spans="2:20" ht="29.4" customHeight="1" x14ac:dyDescent="0.3">
      <c r="B39" s="252" t="s">
        <v>113</v>
      </c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</row>
    <row r="40" spans="2:20" ht="7.8" customHeight="1" x14ac:dyDescent="0.3">
      <c r="K40" s="88"/>
    </row>
    <row r="41" spans="2:20" x14ac:dyDescent="0.3">
      <c r="B41" s="91" t="s">
        <v>81</v>
      </c>
      <c r="C41" s="91" t="s">
        <v>112</v>
      </c>
      <c r="K41" s="88"/>
      <c r="L41" s="98"/>
    </row>
    <row r="42" spans="2:20" ht="14.4" customHeight="1" x14ac:dyDescent="0.3">
      <c r="B42" s="91"/>
      <c r="C42" s="193" t="s">
        <v>111</v>
      </c>
      <c r="D42" s="193"/>
      <c r="E42" s="193"/>
      <c r="F42" s="193"/>
      <c r="G42" s="193"/>
      <c r="H42" s="193"/>
      <c r="I42" s="193"/>
      <c r="J42" s="194"/>
      <c r="K42" s="88"/>
      <c r="L42" s="98"/>
      <c r="M42" s="1" t="s">
        <v>84</v>
      </c>
      <c r="O42" s="207">
        <f>S9-I9</f>
        <v>0.29999999999999993</v>
      </c>
      <c r="P42" s="208"/>
    </row>
    <row r="43" spans="2:20" x14ac:dyDescent="0.3">
      <c r="B43" s="91"/>
      <c r="C43" s="193"/>
      <c r="D43" s="193"/>
      <c r="E43" s="193"/>
      <c r="F43" s="193"/>
      <c r="G43" s="193"/>
      <c r="H43" s="193"/>
      <c r="I43" s="193"/>
      <c r="J43" s="194"/>
      <c r="K43" s="88"/>
      <c r="L43" s="98"/>
      <c r="M43" s="1" t="s">
        <v>114</v>
      </c>
      <c r="O43" s="205">
        <f>O42*10</f>
        <v>2.9999999999999991</v>
      </c>
      <c r="P43" s="206"/>
    </row>
    <row r="44" spans="2:20" ht="14.4" customHeight="1" x14ac:dyDescent="0.3">
      <c r="B44" s="91"/>
      <c r="C44" s="193"/>
      <c r="D44" s="193"/>
      <c r="E44" s="193"/>
      <c r="F44" s="193"/>
      <c r="G44" s="193"/>
      <c r="H44" s="193"/>
      <c r="I44" s="193"/>
      <c r="J44" s="194"/>
      <c r="K44" s="88"/>
      <c r="L44" s="99"/>
      <c r="M44" s="1" t="s">
        <v>89</v>
      </c>
      <c r="O44" s="203">
        <f>(E51*O43)</f>
        <v>399.74999999999989</v>
      </c>
      <c r="P44" s="204"/>
      <c r="Q44" s="17"/>
    </row>
    <row r="45" spans="2:20" ht="9" customHeight="1" x14ac:dyDescent="0.3">
      <c r="K45" s="88"/>
      <c r="Q45" s="17"/>
    </row>
    <row r="46" spans="2:20" ht="14.4" customHeight="1" x14ac:dyDescent="0.3">
      <c r="C46" s="184" t="s">
        <v>87</v>
      </c>
      <c r="K46" s="88"/>
      <c r="M46" s="1" t="s">
        <v>91</v>
      </c>
      <c r="O46" s="207">
        <f>S10-I10</f>
        <v>-0.3</v>
      </c>
      <c r="P46" s="208"/>
      <c r="Q46" s="17"/>
      <c r="R46" s="17"/>
      <c r="S46" s="17"/>
      <c r="T46" s="17"/>
    </row>
    <row r="47" spans="2:20" ht="14.4" customHeight="1" x14ac:dyDescent="0.3">
      <c r="C47" s="184"/>
      <c r="J47" s="92"/>
      <c r="K47" s="88"/>
      <c r="M47" s="1" t="s">
        <v>114</v>
      </c>
      <c r="O47" s="205">
        <f>O46*10</f>
        <v>-3</v>
      </c>
      <c r="P47" s="206"/>
      <c r="Q47" s="17"/>
      <c r="R47" s="17"/>
      <c r="S47" s="17"/>
      <c r="T47" s="17"/>
    </row>
    <row r="48" spans="2:20" ht="14.4" customHeight="1" x14ac:dyDescent="0.3">
      <c r="C48" s="184"/>
      <c r="J48" s="92"/>
      <c r="K48" s="88"/>
      <c r="M48" s="1" t="s">
        <v>90</v>
      </c>
      <c r="O48" s="203">
        <f>(E52*O47)</f>
        <v>-93.5</v>
      </c>
      <c r="P48" s="204"/>
      <c r="Q48" s="17"/>
      <c r="R48" s="17"/>
      <c r="S48" s="17"/>
      <c r="T48" s="17"/>
    </row>
    <row r="49" spans="2:20" ht="9" customHeight="1" x14ac:dyDescent="0.3">
      <c r="C49" s="184"/>
      <c r="J49" s="92"/>
      <c r="K49" s="88"/>
      <c r="M49" s="15"/>
      <c r="O49" s="145"/>
      <c r="P49" s="145"/>
      <c r="Q49" s="17"/>
      <c r="R49" s="17"/>
      <c r="S49" s="17"/>
      <c r="T49" s="17"/>
    </row>
    <row r="50" spans="2:20" x14ac:dyDescent="0.3">
      <c r="E50" s="187" t="s">
        <v>24</v>
      </c>
      <c r="F50" s="187"/>
      <c r="H50" s="187" t="s">
        <v>25</v>
      </c>
      <c r="I50" s="187"/>
      <c r="K50" s="88"/>
      <c r="O50" s="187" t="s">
        <v>24</v>
      </c>
      <c r="P50" s="187"/>
      <c r="Q50" s="17"/>
      <c r="R50" s="17"/>
      <c r="S50" s="17"/>
      <c r="T50" s="17"/>
    </row>
    <row r="51" spans="2:20" x14ac:dyDescent="0.3">
      <c r="C51" s="82" t="s">
        <v>0</v>
      </c>
      <c r="E51" s="185">
        <f>(E34*10%)/$I$9</f>
        <v>133.25</v>
      </c>
      <c r="F51" s="186"/>
      <c r="H51" s="185">
        <f>(H34*10%)/$I$9</f>
        <v>146.75</v>
      </c>
      <c r="I51" s="186"/>
      <c r="K51" s="88"/>
      <c r="M51" s="82" t="s">
        <v>0</v>
      </c>
      <c r="N51" s="2"/>
      <c r="O51" s="185">
        <f>O34+O44</f>
        <v>764.31908344733233</v>
      </c>
      <c r="P51" s="186"/>
      <c r="Q51" s="17"/>
      <c r="R51" s="17"/>
      <c r="S51" s="17"/>
      <c r="T51" s="17"/>
    </row>
    <row r="52" spans="2:20" x14ac:dyDescent="0.3">
      <c r="C52" s="82" t="s">
        <v>26</v>
      </c>
      <c r="D52" s="32"/>
      <c r="E52" s="185">
        <f>(E35*10%)/$I$10</f>
        <v>31.166666666666668</v>
      </c>
      <c r="F52" s="186"/>
      <c r="G52" s="32"/>
      <c r="H52" s="185">
        <f>(H35*10%)/$I$10</f>
        <v>37.333333333333336</v>
      </c>
      <c r="I52" s="186"/>
      <c r="K52" s="88"/>
      <c r="M52" s="82" t="s">
        <v>26</v>
      </c>
      <c r="N52" s="2"/>
      <c r="O52" s="185">
        <f>O35+O48</f>
        <v>34.406976744186039</v>
      </c>
      <c r="P52" s="186"/>
      <c r="Q52" s="17"/>
      <c r="R52" s="17"/>
      <c r="S52" s="17"/>
      <c r="T52" s="17"/>
    </row>
    <row r="53" spans="2:20" ht="14.4" customHeight="1" x14ac:dyDescent="0.3">
      <c r="K53" s="88"/>
    </row>
    <row r="54" spans="2:20" ht="9" customHeight="1" x14ac:dyDescent="0.3">
      <c r="B54" s="103"/>
      <c r="C54" s="11"/>
      <c r="D54" s="11"/>
      <c r="E54" s="11"/>
      <c r="F54" s="11"/>
      <c r="G54" s="11"/>
      <c r="H54" s="11"/>
      <c r="I54" s="11"/>
      <c r="J54" s="11"/>
      <c r="K54" s="11"/>
      <c r="L54" s="103"/>
      <c r="M54" s="11"/>
      <c r="N54" s="11"/>
      <c r="O54" s="11"/>
      <c r="P54" s="11"/>
      <c r="Q54" s="11"/>
      <c r="R54" s="11"/>
      <c r="S54" s="11"/>
      <c r="T54" s="11"/>
    </row>
    <row r="55" spans="2:20" ht="29.4" customHeight="1" x14ac:dyDescent="0.3">
      <c r="B55" s="231" t="s">
        <v>146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</row>
    <row r="56" spans="2:20" ht="29.4" customHeight="1" x14ac:dyDescent="0.3">
      <c r="B56" s="252" t="s">
        <v>115</v>
      </c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</row>
    <row r="57" spans="2:20" ht="7.8" customHeight="1" thickBot="1" x14ac:dyDescent="0.35">
      <c r="L57" s="1"/>
    </row>
    <row r="58" spans="2:20" ht="14.4" customHeight="1" x14ac:dyDescent="0.3">
      <c r="B58" s="91" t="s">
        <v>85</v>
      </c>
      <c r="C58" s="173" t="s">
        <v>97</v>
      </c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5"/>
    </row>
    <row r="59" spans="2:20" x14ac:dyDescent="0.3">
      <c r="B59" s="135"/>
      <c r="C59" s="176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8"/>
    </row>
    <row r="60" spans="2:20" ht="15" thickBot="1" x14ac:dyDescent="0.35">
      <c r="C60" s="179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1"/>
    </row>
    <row r="61" spans="2:20" x14ac:dyDescent="0.3">
      <c r="B61" s="108"/>
      <c r="C61" s="108"/>
      <c r="D61" s="108"/>
      <c r="E61" s="108"/>
      <c r="F61" s="108"/>
      <c r="G61" s="108"/>
      <c r="L61" s="1"/>
    </row>
    <row r="62" spans="2:20" x14ac:dyDescent="0.3">
      <c r="C62" s="6" t="s">
        <v>98</v>
      </c>
      <c r="E62" s="16"/>
      <c r="F62" s="16"/>
      <c r="G62" s="108"/>
      <c r="I62" s="16"/>
      <c r="J62" s="16"/>
      <c r="K62" s="16"/>
      <c r="L62" s="2" t="s">
        <v>99</v>
      </c>
      <c r="P62" s="16"/>
    </row>
    <row r="63" spans="2:20" ht="9" customHeight="1" x14ac:dyDescent="0.3">
      <c r="B63" s="1"/>
      <c r="E63" s="16"/>
      <c r="F63" s="16"/>
      <c r="G63" s="108"/>
      <c r="I63" s="16"/>
      <c r="J63" s="16"/>
      <c r="K63" s="16"/>
      <c r="L63" s="1"/>
      <c r="M63" s="32"/>
      <c r="O63" s="16"/>
      <c r="P63" s="16"/>
    </row>
    <row r="64" spans="2:20" x14ac:dyDescent="0.3">
      <c r="C64" s="1" t="s">
        <v>2</v>
      </c>
      <c r="G64" s="108"/>
      <c r="H64" s="134">
        <v>0.1</v>
      </c>
      <c r="I64" s="96">
        <f t="shared" ref="I64:I69" si="0">H64/1</f>
        <v>0.1</v>
      </c>
      <c r="L64" s="1" t="s">
        <v>3</v>
      </c>
      <c r="O64" s="143">
        <v>0.08</v>
      </c>
      <c r="P64" s="9">
        <f t="shared" ref="P64:P66" si="1">O64/1</f>
        <v>0.08</v>
      </c>
    </row>
    <row r="65" spans="2:20" x14ac:dyDescent="0.3">
      <c r="C65" s="1" t="s">
        <v>4</v>
      </c>
      <c r="G65" s="108"/>
      <c r="H65" s="134">
        <v>0.05</v>
      </c>
      <c r="I65" s="3">
        <f t="shared" si="0"/>
        <v>0.05</v>
      </c>
      <c r="L65" s="1" t="s">
        <v>5</v>
      </c>
      <c r="O65" s="143">
        <v>0.05</v>
      </c>
      <c r="P65" s="3">
        <f t="shared" si="1"/>
        <v>0.05</v>
      </c>
      <c r="R65" s="143">
        <v>0.05</v>
      </c>
    </row>
    <row r="66" spans="2:20" x14ac:dyDescent="0.3">
      <c r="C66" s="1" t="s">
        <v>6</v>
      </c>
      <c r="G66" s="108"/>
      <c r="H66" s="134">
        <v>0.1</v>
      </c>
      <c r="I66" s="96">
        <f t="shared" si="0"/>
        <v>0.1</v>
      </c>
      <c r="L66" s="8" t="s">
        <v>7</v>
      </c>
      <c r="O66" s="143">
        <v>0.03</v>
      </c>
      <c r="P66" s="3">
        <f t="shared" si="1"/>
        <v>0.03</v>
      </c>
      <c r="R66" s="143">
        <v>0.03</v>
      </c>
    </row>
    <row r="67" spans="2:20" x14ac:dyDescent="0.3">
      <c r="C67" s="1" t="s">
        <v>8</v>
      </c>
      <c r="G67" s="108"/>
      <c r="H67" s="134">
        <v>0.05</v>
      </c>
      <c r="I67" s="3">
        <f t="shared" si="0"/>
        <v>0.05</v>
      </c>
      <c r="L67" s="8" t="s">
        <v>11</v>
      </c>
      <c r="O67" s="143"/>
      <c r="P67" s="3">
        <f>O67/1</f>
        <v>0</v>
      </c>
      <c r="R67" s="143">
        <v>0.08</v>
      </c>
    </row>
    <row r="68" spans="2:20" x14ac:dyDescent="0.3">
      <c r="C68" s="1" t="s">
        <v>10</v>
      </c>
      <c r="G68" s="108"/>
      <c r="H68" s="134">
        <v>0.1</v>
      </c>
      <c r="I68" s="96">
        <f t="shared" si="0"/>
        <v>0.1</v>
      </c>
      <c r="L68" s="8" t="s">
        <v>13</v>
      </c>
      <c r="O68" s="143"/>
      <c r="P68" s="3">
        <f>O68/1</f>
        <v>0</v>
      </c>
      <c r="R68" s="143">
        <v>0.03</v>
      </c>
    </row>
    <row r="69" spans="2:20" x14ac:dyDescent="0.3">
      <c r="C69" s="1" t="s">
        <v>12</v>
      </c>
      <c r="G69" s="108"/>
      <c r="H69" s="134">
        <v>0.05</v>
      </c>
      <c r="I69" s="3">
        <f t="shared" si="0"/>
        <v>0.05</v>
      </c>
      <c r="L69" s="8" t="s">
        <v>15</v>
      </c>
      <c r="O69" s="143"/>
      <c r="P69" s="3">
        <f>O69/1</f>
        <v>0</v>
      </c>
      <c r="R69" s="143">
        <v>0.03</v>
      </c>
    </row>
    <row r="70" spans="2:20" x14ac:dyDescent="0.3">
      <c r="C70" s="1" t="s">
        <v>14</v>
      </c>
      <c r="F70" s="164"/>
      <c r="G70" s="108"/>
      <c r="H70" s="134">
        <v>0.03</v>
      </c>
      <c r="I70" s="3">
        <f>H70/1</f>
        <v>0.03</v>
      </c>
      <c r="J70" s="134">
        <v>0.03</v>
      </c>
      <c r="L70" s="8" t="s">
        <v>9</v>
      </c>
      <c r="O70" s="143">
        <v>0.03</v>
      </c>
      <c r="P70" s="3">
        <f>O70/1</f>
        <v>0.03</v>
      </c>
      <c r="R70" s="143">
        <v>0.03</v>
      </c>
    </row>
    <row r="71" spans="2:20" x14ac:dyDescent="0.3">
      <c r="B71" s="1"/>
      <c r="G71" s="108"/>
    </row>
    <row r="72" spans="2:20" x14ac:dyDescent="0.3">
      <c r="B72" s="1"/>
      <c r="G72" s="108"/>
      <c r="L72" s="159" t="s">
        <v>172</v>
      </c>
    </row>
    <row r="73" spans="2:20" x14ac:dyDescent="0.3">
      <c r="B73" s="1"/>
      <c r="G73" s="108"/>
      <c r="L73" s="159" t="s">
        <v>171</v>
      </c>
    </row>
    <row r="74" spans="2:20" x14ac:dyDescent="0.3">
      <c r="B74" s="1"/>
      <c r="G74" s="108"/>
    </row>
    <row r="75" spans="2:20" x14ac:dyDescent="0.3">
      <c r="B75" s="1"/>
      <c r="C75" s="209" t="s">
        <v>100</v>
      </c>
      <c r="D75" s="209"/>
      <c r="E75" s="209"/>
      <c r="F75" s="209"/>
      <c r="G75" s="209"/>
      <c r="H75" s="95">
        <f>I75</f>
        <v>0.48</v>
      </c>
      <c r="I75" s="94">
        <f>SUM(I64,I65,I66,I67,I68,I69,I70)</f>
        <v>0.48</v>
      </c>
      <c r="L75" s="209" t="s">
        <v>102</v>
      </c>
      <c r="M75" s="209"/>
      <c r="N75" s="209"/>
      <c r="O75" s="95">
        <f>P75</f>
        <v>0.19</v>
      </c>
      <c r="P75" s="94">
        <f>SUM(P64,P65,P66,P67,P68,P69,P70)</f>
        <v>0.19</v>
      </c>
    </row>
    <row r="76" spans="2:20" ht="7.8" customHeight="1" x14ac:dyDescent="0.3">
      <c r="L76" s="1"/>
    </row>
    <row r="77" spans="2:20" ht="9" customHeight="1" x14ac:dyDescent="0.3">
      <c r="B77" s="103"/>
      <c r="C77" s="11"/>
      <c r="D77" s="11"/>
      <c r="E77" s="11"/>
      <c r="F77" s="11"/>
      <c r="G77" s="11"/>
      <c r="H77" s="11"/>
      <c r="I77" s="11"/>
      <c r="J77" s="11"/>
      <c r="K77" s="88"/>
      <c r="L77" s="103"/>
      <c r="M77" s="11"/>
      <c r="N77" s="11"/>
      <c r="O77" s="11"/>
      <c r="P77" s="11"/>
      <c r="Q77" s="11"/>
      <c r="R77" s="11"/>
      <c r="S77" s="11"/>
      <c r="T77" s="11"/>
    </row>
    <row r="78" spans="2:20" ht="9" customHeight="1" x14ac:dyDescent="0.3">
      <c r="B78" s="1"/>
      <c r="J78" s="101"/>
      <c r="K78" s="88"/>
    </row>
    <row r="79" spans="2:20" ht="15.6" x14ac:dyDescent="0.3">
      <c r="B79" s="1"/>
      <c r="J79" s="101"/>
      <c r="K79" s="88"/>
      <c r="L79" s="153" t="s">
        <v>149</v>
      </c>
      <c r="M79" s="2"/>
      <c r="N79" s="2"/>
      <c r="O79" s="2"/>
      <c r="P79" s="2"/>
      <c r="Q79" s="2"/>
    </row>
    <row r="80" spans="2:20" ht="9" customHeight="1" x14ac:dyDescent="0.3">
      <c r="B80" s="1"/>
      <c r="J80" s="101"/>
      <c r="K80" s="88"/>
    </row>
    <row r="81" spans="2:20" ht="14.4" customHeight="1" x14ac:dyDescent="0.3">
      <c r="B81" s="1"/>
      <c r="J81" s="101"/>
      <c r="K81" s="88"/>
      <c r="L81" s="211" t="s">
        <v>116</v>
      </c>
      <c r="M81" s="212"/>
      <c r="N81" s="212"/>
      <c r="O81" s="212"/>
      <c r="P81" s="212"/>
      <c r="Q81" s="212"/>
      <c r="R81" s="212"/>
      <c r="S81" s="212"/>
      <c r="T81" s="212"/>
    </row>
    <row r="82" spans="2:20" ht="14.4" customHeight="1" x14ac:dyDescent="0.3">
      <c r="B82" s="1"/>
      <c r="J82" s="101"/>
      <c r="K82" s="88"/>
      <c r="L82" s="211"/>
      <c r="M82" s="212"/>
      <c r="N82" s="212"/>
      <c r="O82" s="212"/>
      <c r="P82" s="212"/>
      <c r="Q82" s="212"/>
      <c r="R82" s="212"/>
      <c r="S82" s="212"/>
      <c r="T82" s="212"/>
    </row>
    <row r="83" spans="2:20" ht="8.4" customHeight="1" x14ac:dyDescent="0.3">
      <c r="B83" s="1"/>
      <c r="J83" s="101"/>
      <c r="K83" s="88"/>
      <c r="L83" s="99"/>
    </row>
    <row r="84" spans="2:20" ht="14.4" customHeight="1" x14ac:dyDescent="0.3">
      <c r="B84" s="1"/>
      <c r="J84" s="101"/>
      <c r="K84" s="88"/>
      <c r="L84" s="213" t="s">
        <v>147</v>
      </c>
      <c r="M84" s="214"/>
      <c r="N84" s="214"/>
      <c r="O84" s="214"/>
      <c r="P84" s="214"/>
      <c r="Q84" s="214"/>
      <c r="R84" s="214"/>
      <c r="S84" s="214"/>
      <c r="T84" s="214"/>
    </row>
    <row r="85" spans="2:20" ht="9" customHeight="1" x14ac:dyDescent="0.3">
      <c r="B85" s="1"/>
      <c r="J85" s="101"/>
      <c r="K85" s="88"/>
      <c r="L85" s="213"/>
      <c r="M85" s="214"/>
      <c r="N85" s="214"/>
      <c r="O85" s="214"/>
      <c r="P85" s="214"/>
      <c r="Q85" s="214"/>
      <c r="R85" s="214"/>
      <c r="S85" s="214"/>
      <c r="T85" s="214"/>
    </row>
    <row r="86" spans="2:20" ht="14.4" customHeight="1" x14ac:dyDescent="0.3">
      <c r="B86" s="1"/>
      <c r="J86" s="101"/>
      <c r="K86" s="88"/>
      <c r="L86" s="213"/>
      <c r="M86" s="214"/>
      <c r="N86" s="214"/>
      <c r="O86" s="214"/>
      <c r="P86" s="214"/>
      <c r="Q86" s="214"/>
      <c r="R86" s="214"/>
      <c r="S86" s="214"/>
      <c r="T86" s="214"/>
    </row>
    <row r="87" spans="2:20" ht="14.4" customHeight="1" x14ac:dyDescent="0.3">
      <c r="B87" s="1"/>
      <c r="J87" s="101"/>
      <c r="K87" s="88"/>
      <c r="L87" s="213"/>
      <c r="M87" s="214"/>
      <c r="N87" s="214"/>
      <c r="O87" s="214"/>
      <c r="P87" s="214"/>
      <c r="Q87" s="214"/>
      <c r="R87" s="214"/>
      <c r="S87" s="214"/>
      <c r="T87" s="214"/>
    </row>
    <row r="88" spans="2:20" ht="14.4" customHeight="1" x14ac:dyDescent="0.3">
      <c r="B88" s="1"/>
      <c r="J88" s="101"/>
      <c r="K88" s="88"/>
      <c r="L88" s="213"/>
      <c r="M88" s="214"/>
      <c r="N88" s="214"/>
      <c r="O88" s="214"/>
      <c r="P88" s="214"/>
      <c r="Q88" s="214"/>
      <c r="R88" s="214"/>
      <c r="S88" s="214"/>
      <c r="T88" s="214"/>
    </row>
    <row r="89" spans="2:20" ht="14.4" customHeight="1" x14ac:dyDescent="0.3">
      <c r="B89" s="1"/>
      <c r="J89" s="101"/>
      <c r="K89" s="88"/>
      <c r="L89" s="213"/>
      <c r="M89" s="214"/>
      <c r="N89" s="214"/>
      <c r="O89" s="214"/>
      <c r="P89" s="214"/>
      <c r="Q89" s="214"/>
      <c r="R89" s="214"/>
      <c r="S89" s="214"/>
      <c r="T89" s="214"/>
    </row>
    <row r="90" spans="2:20" ht="14.4" customHeight="1" x14ac:dyDescent="0.3">
      <c r="B90" s="1"/>
      <c r="J90" s="101"/>
      <c r="K90" s="88"/>
      <c r="L90" s="213"/>
      <c r="M90" s="214"/>
      <c r="N90" s="214"/>
      <c r="O90" s="214"/>
      <c r="P90" s="214"/>
      <c r="Q90" s="214"/>
      <c r="R90" s="214"/>
      <c r="S90" s="214"/>
      <c r="T90" s="214"/>
    </row>
    <row r="91" spans="2:20" ht="14.4" customHeight="1" x14ac:dyDescent="0.3">
      <c r="B91" s="1"/>
      <c r="J91" s="101"/>
      <c r="K91" s="88"/>
      <c r="L91" s="213"/>
      <c r="M91" s="214"/>
      <c r="N91" s="214"/>
      <c r="O91" s="214"/>
      <c r="P91" s="214"/>
      <c r="Q91" s="214"/>
      <c r="R91" s="214"/>
      <c r="S91" s="214"/>
      <c r="T91" s="214"/>
    </row>
    <row r="92" spans="2:20" ht="9" customHeight="1" x14ac:dyDescent="0.3">
      <c r="B92" s="1"/>
      <c r="J92" s="101"/>
      <c r="K92" s="88"/>
      <c r="L92" s="99"/>
    </row>
    <row r="93" spans="2:20" x14ac:dyDescent="0.3">
      <c r="B93" s="1"/>
      <c r="J93" s="101"/>
      <c r="K93" s="88"/>
      <c r="L93" s="99"/>
      <c r="O93" s="187" t="s">
        <v>24</v>
      </c>
      <c r="P93" s="187"/>
    </row>
    <row r="94" spans="2:20" ht="14.4" customHeight="1" x14ac:dyDescent="0.3">
      <c r="B94" s="1"/>
      <c r="J94" s="101"/>
      <c r="K94" s="88"/>
      <c r="L94" s="99"/>
      <c r="M94" s="82" t="s">
        <v>0</v>
      </c>
      <c r="N94" s="2"/>
      <c r="O94" s="210">
        <f>IF(O51&lt;0,(O51-(O51*$H$75)),(O51+(O51*$H$75)))</f>
        <v>1131.192243502052</v>
      </c>
      <c r="P94" s="210"/>
    </row>
    <row r="95" spans="2:20" ht="14.4" customHeight="1" x14ac:dyDescent="0.3">
      <c r="B95" s="1"/>
      <c r="J95" s="101"/>
      <c r="K95" s="88"/>
      <c r="L95" s="99"/>
      <c r="M95" s="82" t="s">
        <v>26</v>
      </c>
      <c r="N95" s="2"/>
      <c r="O95" s="210">
        <f>IF(O52&lt;0,(O52-(O52*$O$75)),(O52+(O52*$O$75)))</f>
        <v>40.94430232558139</v>
      </c>
      <c r="P95" s="210"/>
    </row>
    <row r="96" spans="2:20" ht="14.4" customHeight="1" x14ac:dyDescent="0.3">
      <c r="B96" s="1"/>
      <c r="J96" s="101"/>
      <c r="K96" s="88"/>
      <c r="L96" s="99"/>
    </row>
    <row r="97" spans="2:20" ht="9" customHeight="1" x14ac:dyDescent="0.3">
      <c r="B97" s="103"/>
      <c r="C97" s="11"/>
      <c r="D97" s="11"/>
      <c r="E97" s="11"/>
      <c r="F97" s="11"/>
      <c r="G97" s="11"/>
      <c r="H97" s="11"/>
      <c r="I97" s="11"/>
      <c r="J97" s="11"/>
      <c r="K97" s="11"/>
      <c r="L97" s="103"/>
      <c r="M97" s="11"/>
      <c r="N97" s="11"/>
      <c r="O97" s="11"/>
      <c r="P97" s="11"/>
      <c r="Q97" s="11"/>
      <c r="R97" s="11"/>
      <c r="S97" s="11"/>
      <c r="T97" s="11"/>
    </row>
    <row r="98" spans="2:20" ht="29.4" customHeight="1" x14ac:dyDescent="0.3">
      <c r="B98" s="231" t="s">
        <v>148</v>
      </c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</row>
    <row r="99" spans="2:20" ht="29.4" customHeight="1" x14ac:dyDescent="0.3">
      <c r="B99" s="252" t="s">
        <v>117</v>
      </c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</row>
    <row r="100" spans="2:20" ht="7.8" customHeight="1" x14ac:dyDescent="0.3">
      <c r="K100" s="88"/>
      <c r="L100" s="1"/>
    </row>
    <row r="101" spans="2:20" ht="14.4" customHeight="1" x14ac:dyDescent="0.3">
      <c r="B101" s="91" t="s">
        <v>101</v>
      </c>
      <c r="C101" s="91" t="s">
        <v>86</v>
      </c>
      <c r="K101" s="88"/>
      <c r="L101" s="213" t="s">
        <v>119</v>
      </c>
      <c r="M101" s="214"/>
      <c r="N101" s="214"/>
      <c r="O101" s="214"/>
      <c r="P101" s="214"/>
      <c r="Q101" s="214"/>
      <c r="R101" s="214"/>
      <c r="S101" s="214"/>
      <c r="T101" s="214"/>
    </row>
    <row r="102" spans="2:20" ht="14.4" customHeight="1" x14ac:dyDescent="0.3">
      <c r="B102" s="91"/>
      <c r="C102" s="193" t="s">
        <v>118</v>
      </c>
      <c r="D102" s="193"/>
      <c r="E102" s="193"/>
      <c r="F102" s="193"/>
      <c r="G102" s="193"/>
      <c r="H102" s="193"/>
      <c r="I102" s="193"/>
      <c r="J102" s="194"/>
      <c r="K102" s="88"/>
      <c r="L102" s="213"/>
      <c r="M102" s="214"/>
      <c r="N102" s="214"/>
      <c r="O102" s="214"/>
      <c r="P102" s="214"/>
      <c r="Q102" s="214"/>
      <c r="R102" s="214"/>
      <c r="S102" s="214"/>
      <c r="T102" s="214"/>
    </row>
    <row r="103" spans="2:20" x14ac:dyDescent="0.3">
      <c r="B103" s="91"/>
      <c r="C103" s="193"/>
      <c r="D103" s="193"/>
      <c r="E103" s="193"/>
      <c r="F103" s="193"/>
      <c r="G103" s="193"/>
      <c r="H103" s="193"/>
      <c r="I103" s="193"/>
      <c r="J103" s="194"/>
      <c r="K103" s="88"/>
      <c r="L103" s="213"/>
      <c r="M103" s="214"/>
      <c r="N103" s="214"/>
      <c r="O103" s="214"/>
      <c r="P103" s="214"/>
      <c r="Q103" s="214"/>
      <c r="R103" s="214"/>
      <c r="S103" s="214"/>
      <c r="T103" s="214"/>
    </row>
    <row r="104" spans="2:20" x14ac:dyDescent="0.3">
      <c r="B104" s="91"/>
      <c r="C104" s="193"/>
      <c r="D104" s="193"/>
      <c r="E104" s="193"/>
      <c r="F104" s="193"/>
      <c r="G104" s="193"/>
      <c r="H104" s="193"/>
      <c r="I104" s="193"/>
      <c r="J104" s="194"/>
      <c r="K104" s="88"/>
      <c r="L104" s="213"/>
      <c r="M104" s="214"/>
      <c r="N104" s="214"/>
      <c r="O104" s="214"/>
      <c r="P104" s="214"/>
      <c r="Q104" s="214"/>
      <c r="R104" s="214"/>
      <c r="S104" s="214"/>
      <c r="T104" s="214"/>
    </row>
    <row r="105" spans="2:20" x14ac:dyDescent="0.3">
      <c r="K105" s="88"/>
      <c r="L105" s="213"/>
      <c r="M105" s="214"/>
      <c r="N105" s="214"/>
      <c r="O105" s="214"/>
      <c r="P105" s="214"/>
      <c r="Q105" s="214"/>
      <c r="R105" s="214"/>
      <c r="S105" s="214"/>
      <c r="T105" s="214"/>
    </row>
    <row r="106" spans="2:20" ht="14.4" customHeight="1" x14ac:dyDescent="0.3">
      <c r="C106" s="184" t="s">
        <v>87</v>
      </c>
      <c r="K106" s="88"/>
      <c r="L106" s="213"/>
      <c r="M106" s="214"/>
      <c r="N106" s="214"/>
      <c r="O106" s="214"/>
      <c r="P106" s="214"/>
      <c r="Q106" s="214"/>
      <c r="R106" s="214"/>
      <c r="S106" s="214"/>
      <c r="T106" s="214"/>
    </row>
    <row r="107" spans="2:20" ht="14.4" customHeight="1" x14ac:dyDescent="0.3">
      <c r="C107" s="184"/>
      <c r="K107" s="88"/>
      <c r="S107" s="92"/>
    </row>
    <row r="108" spans="2:20" ht="14.4" customHeight="1" x14ac:dyDescent="0.3">
      <c r="C108" s="184"/>
      <c r="K108" s="88"/>
      <c r="M108" s="15" t="s">
        <v>88</v>
      </c>
      <c r="O108" s="227">
        <f>P9-F9</f>
        <v>-3</v>
      </c>
      <c r="P108" s="228"/>
      <c r="R108" s="102"/>
      <c r="S108" s="92"/>
    </row>
    <row r="109" spans="2:20" ht="14.4" customHeight="1" x14ac:dyDescent="0.3">
      <c r="C109" s="184"/>
      <c r="J109" s="92"/>
      <c r="K109" s="88"/>
      <c r="M109" s="15" t="s">
        <v>88</v>
      </c>
      <c r="O109" s="229">
        <f>ABS(P9-F9)</f>
        <v>3</v>
      </c>
      <c r="P109" s="230"/>
      <c r="R109" s="102" t="s">
        <v>103</v>
      </c>
      <c r="T109" s="92"/>
    </row>
    <row r="110" spans="2:20" ht="9" customHeight="1" x14ac:dyDescent="0.3">
      <c r="C110" s="184"/>
      <c r="K110" s="88"/>
    </row>
    <row r="111" spans="2:20" x14ac:dyDescent="0.3">
      <c r="E111" s="187" t="s">
        <v>24</v>
      </c>
      <c r="F111" s="187"/>
      <c r="H111" s="187" t="s">
        <v>25</v>
      </c>
      <c r="I111" s="187"/>
      <c r="K111" s="88"/>
      <c r="O111" s="187" t="s">
        <v>24</v>
      </c>
      <c r="P111" s="187"/>
    </row>
    <row r="112" spans="2:20" x14ac:dyDescent="0.3">
      <c r="C112" s="82" t="s">
        <v>0</v>
      </c>
      <c r="E112" s="185">
        <f>E34/$F$9</f>
        <v>88.833333333333329</v>
      </c>
      <c r="F112" s="186"/>
      <c r="H112" s="185">
        <f>H34/$F$9</f>
        <v>97.833333333333329</v>
      </c>
      <c r="I112" s="186"/>
      <c r="K112" s="88"/>
      <c r="M112" s="82" t="s">
        <v>0</v>
      </c>
      <c r="O112" s="185">
        <f>IF($O$108&lt;0,(O94-(E112*$O$109)),O94+(E112*$O$109))</f>
        <v>864.69224350205195</v>
      </c>
      <c r="P112" s="186"/>
    </row>
    <row r="113" spans="2:20" x14ac:dyDescent="0.3">
      <c r="C113" s="82" t="s">
        <v>26</v>
      </c>
      <c r="D113" s="32"/>
      <c r="E113" s="185">
        <f>E35/$F$9</f>
        <v>31.166666666666668</v>
      </c>
      <c r="F113" s="186"/>
      <c r="G113" s="32"/>
      <c r="H113" s="185">
        <f>H35/$F$9</f>
        <v>37.333333333333336</v>
      </c>
      <c r="I113" s="186"/>
      <c r="K113" s="88"/>
      <c r="M113" s="82" t="s">
        <v>26</v>
      </c>
      <c r="N113" s="32"/>
      <c r="O113" s="185">
        <f>IF($O$108&lt;0,(O95-(E113*$O$109)),O95+(E113*$O$109))</f>
        <v>-52.55569767441861</v>
      </c>
      <c r="P113" s="186"/>
    </row>
    <row r="114" spans="2:20" ht="14.4" customHeight="1" x14ac:dyDescent="0.3">
      <c r="K114" s="88"/>
    </row>
    <row r="115" spans="2:20" ht="9" customHeight="1" x14ac:dyDescent="0.3">
      <c r="B115" s="103"/>
      <c r="C115" s="11"/>
      <c r="D115" s="11"/>
      <c r="E115" s="11"/>
      <c r="F115" s="11"/>
      <c r="G115" s="11"/>
      <c r="H115" s="11"/>
      <c r="I115" s="11"/>
      <c r="J115" s="11"/>
      <c r="K115" s="11"/>
      <c r="L115" s="103"/>
      <c r="M115" s="11"/>
      <c r="N115" s="11"/>
      <c r="O115" s="11"/>
      <c r="P115" s="11"/>
      <c r="Q115" s="11"/>
      <c r="R115" s="11"/>
      <c r="S115" s="11"/>
      <c r="T115" s="11"/>
    </row>
    <row r="116" spans="2:20" ht="29.4" customHeight="1" x14ac:dyDescent="0.3">
      <c r="B116" s="248" t="s">
        <v>150</v>
      </c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</row>
    <row r="117" spans="2:20" ht="29.4" customHeight="1" x14ac:dyDescent="0.3">
      <c r="B117" s="215" t="s">
        <v>75</v>
      </c>
      <c r="C117" s="215"/>
      <c r="D117" s="215"/>
      <c r="E117" s="215"/>
      <c r="F117" s="154">
        <f>C31</f>
        <v>231</v>
      </c>
      <c r="G117" s="5" t="s">
        <v>76</v>
      </c>
      <c r="H117" s="5"/>
      <c r="I117" s="5"/>
      <c r="J117" s="5"/>
      <c r="K117" s="88"/>
      <c r="L117" s="215" t="s">
        <v>75</v>
      </c>
      <c r="M117" s="215"/>
      <c r="N117" s="215"/>
      <c r="O117" s="215"/>
      <c r="P117" s="154">
        <f>M31</f>
        <v>158.00273597811216</v>
      </c>
      <c r="Q117" s="5" t="s">
        <v>76</v>
      </c>
      <c r="R117" s="5"/>
      <c r="S117" s="5"/>
      <c r="T117" s="5"/>
    </row>
    <row r="118" spans="2:20" ht="7.8" customHeight="1" x14ac:dyDescent="0.3">
      <c r="K118" s="88"/>
    </row>
    <row r="119" spans="2:20" ht="15" thickBot="1" x14ac:dyDescent="0.35">
      <c r="E119" s="195" t="s">
        <v>24</v>
      </c>
      <c r="F119" s="195"/>
      <c r="H119" s="195" t="s">
        <v>25</v>
      </c>
      <c r="I119" s="195"/>
      <c r="K119" s="88"/>
      <c r="O119" s="187" t="s">
        <v>24</v>
      </c>
      <c r="P119" s="187"/>
      <c r="R119" s="187"/>
      <c r="S119" s="187"/>
    </row>
    <row r="120" spans="2:20" x14ac:dyDescent="0.3">
      <c r="C120" s="115" t="s">
        <v>0</v>
      </c>
      <c r="D120" s="116"/>
      <c r="E120" s="218">
        <f>E34</f>
        <v>533</v>
      </c>
      <c r="F120" s="218"/>
      <c r="G120" s="116"/>
      <c r="H120" s="218">
        <f>H34</f>
        <v>587</v>
      </c>
      <c r="I120" s="219"/>
      <c r="J120" s="90"/>
      <c r="K120" s="88"/>
      <c r="M120" s="15" t="s">
        <v>0</v>
      </c>
      <c r="O120" s="246">
        <f>O112</f>
        <v>864.69224350205195</v>
      </c>
      <c r="P120" s="247"/>
      <c r="R120" s="187"/>
      <c r="S120" s="187"/>
      <c r="T120" s="90"/>
    </row>
    <row r="121" spans="2:20" x14ac:dyDescent="0.3">
      <c r="C121" s="117" t="s">
        <v>26</v>
      </c>
      <c r="D121" s="118"/>
      <c r="E121" s="216">
        <f>E35</f>
        <v>187</v>
      </c>
      <c r="F121" s="216"/>
      <c r="G121" s="118"/>
      <c r="H121" s="216">
        <f>H35</f>
        <v>224</v>
      </c>
      <c r="I121" s="217"/>
      <c r="J121" s="90"/>
      <c r="K121" s="88"/>
      <c r="M121" s="15" t="s">
        <v>26</v>
      </c>
      <c r="O121" s="246">
        <f>O113</f>
        <v>-52.55569767441861</v>
      </c>
      <c r="P121" s="247"/>
      <c r="R121" s="187"/>
      <c r="S121" s="187"/>
      <c r="T121" s="90"/>
    </row>
    <row r="122" spans="2:20" ht="15" thickBot="1" x14ac:dyDescent="0.35">
      <c r="C122" s="112" t="s">
        <v>27</v>
      </c>
      <c r="D122" s="113"/>
      <c r="E122" s="182">
        <f>SUM(E120:F121)</f>
        <v>720</v>
      </c>
      <c r="F122" s="182"/>
      <c r="G122" s="114"/>
      <c r="H122" s="182">
        <f>SUM(H120:I121)</f>
        <v>811</v>
      </c>
      <c r="I122" s="183"/>
      <c r="K122" s="88"/>
      <c r="M122" s="80" t="s">
        <v>27</v>
      </c>
      <c r="O122" s="191">
        <f>SUM(O120:P121)</f>
        <v>812.13654582763331</v>
      </c>
      <c r="P122" s="192"/>
      <c r="R122" s="187"/>
      <c r="S122" s="187"/>
    </row>
    <row r="123" spans="2:20" ht="14.4" customHeight="1" x14ac:dyDescent="0.3">
      <c r="K123" s="88"/>
    </row>
    <row r="124" spans="2:20" ht="9" customHeight="1" x14ac:dyDescent="0.3">
      <c r="B124" s="103"/>
      <c r="C124" s="11"/>
      <c r="D124" s="11"/>
      <c r="E124" s="11"/>
      <c r="F124" s="11"/>
      <c r="G124" s="11"/>
      <c r="H124" s="11"/>
      <c r="I124" s="11"/>
      <c r="J124" s="11"/>
      <c r="K124" s="11"/>
      <c r="L124" s="103"/>
      <c r="M124" s="11"/>
      <c r="N124" s="11"/>
      <c r="O124" s="11"/>
      <c r="P124" s="11"/>
      <c r="Q124" s="11"/>
      <c r="R124" s="11"/>
      <c r="S124" s="11"/>
      <c r="T124" s="11"/>
    </row>
    <row r="125" spans="2:20" ht="29.4" customHeight="1" x14ac:dyDescent="0.3">
      <c r="B125" s="248" t="s">
        <v>151</v>
      </c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</row>
    <row r="126" spans="2:20" ht="7.8" customHeight="1" x14ac:dyDescent="0.3">
      <c r="K126" s="88"/>
    </row>
    <row r="127" spans="2:20" ht="15" thickBot="1" x14ac:dyDescent="0.35">
      <c r="E127" s="195" t="s">
        <v>152</v>
      </c>
      <c r="F127" s="195"/>
      <c r="K127" s="88"/>
      <c r="O127" s="187" t="s">
        <v>152</v>
      </c>
      <c r="P127" s="187"/>
    </row>
    <row r="128" spans="2:20" x14ac:dyDescent="0.3">
      <c r="C128" s="158" t="s">
        <v>0</v>
      </c>
      <c r="D128" s="8"/>
      <c r="E128" s="250">
        <f>J9</f>
        <v>2.6</v>
      </c>
      <c r="F128" s="251"/>
      <c r="K128" s="88"/>
      <c r="M128" s="119" t="s">
        <v>0</v>
      </c>
      <c r="O128" s="225">
        <f>T9</f>
        <v>2.6</v>
      </c>
      <c r="P128" s="226"/>
    </row>
    <row r="129" spans="2:20" ht="15" thickBot="1" x14ac:dyDescent="0.35">
      <c r="C129" s="158" t="s">
        <v>26</v>
      </c>
      <c r="D129" s="8"/>
      <c r="E129" s="221">
        <f>J10</f>
        <v>1.45</v>
      </c>
      <c r="F129" s="222"/>
      <c r="K129" s="88"/>
      <c r="M129" s="119" t="s">
        <v>26</v>
      </c>
      <c r="O129" s="225">
        <f>T10</f>
        <v>1.45</v>
      </c>
      <c r="P129" s="226"/>
    </row>
    <row r="130" spans="2:20" ht="7.8" customHeight="1" x14ac:dyDescent="0.3">
      <c r="K130" s="88"/>
    </row>
    <row r="131" spans="2:20" x14ac:dyDescent="0.3">
      <c r="E131" s="187" t="s">
        <v>104</v>
      </c>
      <c r="F131" s="187"/>
      <c r="H131" s="187"/>
      <c r="I131" s="187"/>
      <c r="K131" s="88"/>
      <c r="O131" s="187" t="s">
        <v>104</v>
      </c>
      <c r="P131" s="187"/>
      <c r="R131" s="187"/>
      <c r="S131" s="187"/>
    </row>
    <row r="132" spans="2:20" x14ac:dyDescent="0.3">
      <c r="C132" s="119" t="s">
        <v>0</v>
      </c>
      <c r="D132" s="17"/>
      <c r="E132" s="189">
        <f>E120-(E120/$E$128)</f>
        <v>328</v>
      </c>
      <c r="F132" s="190"/>
      <c r="H132" s="188"/>
      <c r="I132" s="187"/>
      <c r="K132" s="88"/>
      <c r="M132" s="119" t="s">
        <v>0</v>
      </c>
      <c r="N132" s="17"/>
      <c r="O132" s="189">
        <f>O120-(O120/$O$128)</f>
        <v>532.1183036935704</v>
      </c>
      <c r="P132" s="190"/>
      <c r="R132" s="188"/>
      <c r="S132" s="187"/>
    </row>
    <row r="133" spans="2:20" x14ac:dyDescent="0.3">
      <c r="C133" s="119" t="s">
        <v>26</v>
      </c>
      <c r="D133" s="17"/>
      <c r="E133" s="189">
        <f>E121-(E121/$E$129)</f>
        <v>58.034482758620697</v>
      </c>
      <c r="F133" s="190"/>
      <c r="H133" s="187"/>
      <c r="I133" s="187"/>
      <c r="K133" s="88"/>
      <c r="M133" s="119" t="s">
        <v>26</v>
      </c>
      <c r="N133" s="17"/>
      <c r="O133" s="189">
        <f>O121-(O121/$O$129)</f>
        <v>-16.310388933440258</v>
      </c>
      <c r="P133" s="190"/>
      <c r="R133" s="187"/>
      <c r="S133" s="187"/>
    </row>
    <row r="134" spans="2:20" x14ac:dyDescent="0.3">
      <c r="C134" s="80" t="s">
        <v>27</v>
      </c>
      <c r="E134" s="191">
        <f>SUM(E132:F133)</f>
        <v>386.0344827586207</v>
      </c>
      <c r="F134" s="192"/>
      <c r="H134" s="187"/>
      <c r="I134" s="187"/>
      <c r="K134" s="88"/>
      <c r="M134" s="80" t="s">
        <v>27</v>
      </c>
      <c r="O134" s="191">
        <f>SUM(O132:P133)</f>
        <v>515.80791476013019</v>
      </c>
      <c r="P134" s="192"/>
      <c r="R134" s="187"/>
      <c r="S134" s="187"/>
    </row>
    <row r="135" spans="2:20" ht="14.4" customHeight="1" x14ac:dyDescent="0.3">
      <c r="K135" s="88"/>
    </row>
    <row r="136" spans="2:20" ht="9" customHeight="1" x14ac:dyDescent="0.3">
      <c r="B136" s="103"/>
      <c r="C136" s="11"/>
      <c r="D136" s="11"/>
      <c r="E136" s="11"/>
      <c r="F136" s="11"/>
      <c r="G136" s="11"/>
      <c r="H136" s="11"/>
      <c r="I136" s="11"/>
      <c r="J136" s="11"/>
      <c r="K136" s="11"/>
      <c r="L136" s="103"/>
      <c r="M136" s="11"/>
      <c r="N136" s="11"/>
      <c r="O136" s="11"/>
      <c r="P136" s="11"/>
      <c r="Q136" s="11"/>
      <c r="R136" s="11"/>
      <c r="S136" s="11"/>
      <c r="T136" s="11"/>
    </row>
    <row r="137" spans="2:20" ht="29.4" customHeight="1" x14ac:dyDescent="0.3">
      <c r="B137" s="244" t="s">
        <v>29</v>
      </c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</row>
    <row r="138" spans="2:20" ht="7.8" customHeight="1" x14ac:dyDescent="0.3">
      <c r="K138" s="88"/>
    </row>
    <row r="139" spans="2:20" x14ac:dyDescent="0.3">
      <c r="B139" s="233" t="s">
        <v>153</v>
      </c>
      <c r="C139" s="233"/>
      <c r="D139" s="233"/>
      <c r="E139" s="233"/>
      <c r="F139" s="233"/>
      <c r="G139" s="233"/>
      <c r="H139" s="233"/>
      <c r="I139" s="233"/>
      <c r="K139" s="88"/>
      <c r="L139" s="233" t="s">
        <v>153</v>
      </c>
      <c r="M139" s="233"/>
      <c r="N139" s="233"/>
      <c r="O139" s="233"/>
      <c r="P139" s="233"/>
      <c r="Q139" s="233"/>
      <c r="R139" s="233"/>
      <c r="S139" s="233"/>
    </row>
    <row r="140" spans="2:20" ht="4.8" customHeight="1" x14ac:dyDescent="0.3">
      <c r="C140" s="32"/>
      <c r="K140" s="88"/>
      <c r="M140" s="32"/>
    </row>
    <row r="141" spans="2:20" x14ac:dyDescent="0.3">
      <c r="B141" s="18" t="s">
        <v>154</v>
      </c>
      <c r="C141" s="15"/>
      <c r="D141" s="79"/>
      <c r="E141" s="260" t="s">
        <v>121</v>
      </c>
      <c r="F141" s="261"/>
      <c r="G141" s="79"/>
      <c r="H141" s="260" t="s">
        <v>122</v>
      </c>
      <c r="I141" s="261"/>
      <c r="K141" s="88"/>
      <c r="L141" s="18" t="s">
        <v>154</v>
      </c>
      <c r="M141" s="15"/>
      <c r="N141" s="79"/>
      <c r="O141" s="260" t="s">
        <v>121</v>
      </c>
      <c r="P141" s="261"/>
      <c r="Q141" s="79"/>
      <c r="R141" s="260" t="s">
        <v>122</v>
      </c>
      <c r="S141" s="261"/>
      <c r="T141" s="92"/>
    </row>
    <row r="142" spans="2:20" x14ac:dyDescent="0.3">
      <c r="B142" s="18" t="s">
        <v>155</v>
      </c>
      <c r="E142" s="254" t="s">
        <v>156</v>
      </c>
      <c r="F142" s="255"/>
      <c r="H142" s="156">
        <v>60</v>
      </c>
      <c r="I142" s="157" t="s">
        <v>43</v>
      </c>
      <c r="K142" s="88"/>
      <c r="L142" s="18" t="s">
        <v>155</v>
      </c>
      <c r="O142" s="254" t="s">
        <v>156</v>
      </c>
      <c r="P142" s="255"/>
      <c r="R142" s="156">
        <v>60</v>
      </c>
      <c r="S142" s="157" t="s">
        <v>43</v>
      </c>
      <c r="T142" s="92"/>
    </row>
    <row r="143" spans="2:20" ht="7.8" customHeight="1" x14ac:dyDescent="0.3">
      <c r="K143" s="88"/>
    </row>
    <row r="144" spans="2:20" x14ac:dyDescent="0.3">
      <c r="E144" s="220" t="s">
        <v>27</v>
      </c>
      <c r="F144" s="220"/>
      <c r="H144" s="220" t="s">
        <v>65</v>
      </c>
      <c r="I144" s="220"/>
      <c r="K144" s="88"/>
      <c r="O144" s="220" t="s">
        <v>27</v>
      </c>
      <c r="P144" s="220"/>
      <c r="R144" s="220" t="s">
        <v>65</v>
      </c>
      <c r="S144" s="220"/>
    </row>
    <row r="145" spans="2:20" x14ac:dyDescent="0.3">
      <c r="B145" s="233" t="s">
        <v>133</v>
      </c>
      <c r="C145" s="233"/>
      <c r="D145" s="233"/>
      <c r="E145" s="233"/>
      <c r="F145" s="233"/>
      <c r="G145" s="233"/>
      <c r="H145" s="233"/>
      <c r="I145" s="233"/>
      <c r="K145" s="88"/>
      <c r="L145" s="233" t="s">
        <v>133</v>
      </c>
      <c r="M145" s="233"/>
      <c r="N145" s="233"/>
      <c r="O145" s="233"/>
      <c r="P145" s="233"/>
      <c r="Q145" s="233"/>
      <c r="R145" s="233"/>
      <c r="S145" s="233"/>
    </row>
    <row r="146" spans="2:20" ht="4.8" customHeight="1" x14ac:dyDescent="0.3">
      <c r="C146" s="32"/>
      <c r="K146" s="88"/>
      <c r="M146" s="32"/>
    </row>
    <row r="147" spans="2:20" x14ac:dyDescent="0.3">
      <c r="B147" s="146" t="s">
        <v>66</v>
      </c>
      <c r="C147" s="160">
        <v>1</v>
      </c>
      <c r="D147" s="79"/>
      <c r="E147" s="171">
        <f>'COUTS - TECHNOS'!$E$8*C147</f>
        <v>500</v>
      </c>
      <c r="F147" s="172"/>
      <c r="G147" s="79"/>
      <c r="H147" s="171">
        <f>E147/$H$142</f>
        <v>8.3333333333333339</v>
      </c>
      <c r="I147" s="172"/>
      <c r="K147" s="88"/>
      <c r="L147" s="146" t="s">
        <v>66</v>
      </c>
      <c r="M147" s="147">
        <v>1</v>
      </c>
      <c r="N147" s="79"/>
      <c r="O147" s="171">
        <f>'COUTS - TECHNOS'!$E$8*M147</f>
        <v>500</v>
      </c>
      <c r="P147" s="172"/>
      <c r="Q147" s="79"/>
      <c r="R147" s="171">
        <f>O147/$R$142</f>
        <v>8.3333333333333339</v>
      </c>
      <c r="S147" s="172"/>
      <c r="T147" s="92"/>
    </row>
    <row r="148" spans="2:20" x14ac:dyDescent="0.3">
      <c r="B148" s="146" t="s">
        <v>67</v>
      </c>
      <c r="C148" s="160">
        <v>0</v>
      </c>
      <c r="D148" s="79"/>
      <c r="E148" s="171">
        <f>'COUTS - TECHNOS'!$E$15*C148</f>
        <v>0</v>
      </c>
      <c r="F148" s="172"/>
      <c r="G148" s="79"/>
      <c r="H148" s="171">
        <f>E148/$H$142</f>
        <v>0</v>
      </c>
      <c r="I148" s="172"/>
      <c r="K148" s="88"/>
      <c r="L148" s="146" t="s">
        <v>67</v>
      </c>
      <c r="M148" s="147">
        <v>1</v>
      </c>
      <c r="N148" s="79"/>
      <c r="O148" s="171">
        <f>'COUTS - TECHNOS'!$E$15*M148</f>
        <v>800</v>
      </c>
      <c r="P148" s="172"/>
      <c r="Q148" s="79"/>
      <c r="R148" s="171">
        <f>O148/$R$142</f>
        <v>13.333333333333334</v>
      </c>
      <c r="S148" s="172"/>
    </row>
    <row r="149" spans="2:20" x14ac:dyDescent="0.3">
      <c r="B149" s="18" t="s">
        <v>68</v>
      </c>
      <c r="C149" s="14">
        <v>1</v>
      </c>
      <c r="D149" s="79"/>
      <c r="E149" s="171">
        <f>'COUTS - TECHNOS'!$E$22</f>
        <v>3000</v>
      </c>
      <c r="F149" s="172">
        <f>'COUTS - TECHNOS'!E22</f>
        <v>3000</v>
      </c>
      <c r="G149" s="79"/>
      <c r="H149" s="171">
        <f>E149/$H$142</f>
        <v>50</v>
      </c>
      <c r="I149" s="172"/>
      <c r="K149" s="88"/>
      <c r="L149" s="18" t="s">
        <v>68</v>
      </c>
      <c r="N149" s="79"/>
      <c r="O149" s="171">
        <f>'COUTS - TECHNOS'!$E$22</f>
        <v>3000</v>
      </c>
      <c r="P149" s="172">
        <f>'COUTS - TECHNOS'!O22</f>
        <v>0</v>
      </c>
      <c r="Q149" s="79"/>
      <c r="R149" s="171">
        <f>O149/$R$142</f>
        <v>50</v>
      </c>
      <c r="S149" s="172"/>
      <c r="T149" s="92"/>
    </row>
    <row r="150" spans="2:20" x14ac:dyDescent="0.3">
      <c r="B150" s="18" t="s">
        <v>83</v>
      </c>
      <c r="D150" s="79"/>
      <c r="E150" s="171">
        <f>'COUTS - TECHNOS'!$E$26</f>
        <v>1000</v>
      </c>
      <c r="F150" s="172"/>
      <c r="G150" s="79"/>
      <c r="H150" s="171">
        <f>E150/$H$142</f>
        <v>16.666666666666668</v>
      </c>
      <c r="I150" s="172"/>
      <c r="K150" s="88"/>
      <c r="L150" s="18" t="s">
        <v>83</v>
      </c>
      <c r="N150" s="79"/>
      <c r="O150" s="171">
        <f>'COUTS - TECHNOS'!$E$26</f>
        <v>1000</v>
      </c>
      <c r="P150" s="172"/>
      <c r="Q150" s="79"/>
      <c r="R150" s="171">
        <f>O150/$R$142</f>
        <v>16.666666666666668</v>
      </c>
      <c r="S150" s="172"/>
    </row>
    <row r="151" spans="2:20" x14ac:dyDescent="0.3">
      <c r="E151" s="234">
        <f>SUM(E147:F150)</f>
        <v>7500</v>
      </c>
      <c r="F151" s="235"/>
      <c r="H151" s="234">
        <f>SUM(H147:I150)</f>
        <v>75</v>
      </c>
      <c r="I151" s="235"/>
      <c r="K151" s="88"/>
      <c r="O151" s="234">
        <f>SUM(O147:P150)</f>
        <v>5300</v>
      </c>
      <c r="P151" s="235"/>
      <c r="R151" s="234">
        <f>SUM(R147:S150)</f>
        <v>88.333333333333343</v>
      </c>
      <c r="S151" s="235"/>
    </row>
    <row r="152" spans="2:20" ht="7.8" customHeight="1" x14ac:dyDescent="0.3">
      <c r="C152" s="32"/>
      <c r="K152" s="88"/>
      <c r="M152" s="32"/>
    </row>
    <row r="153" spans="2:20" x14ac:dyDescent="0.3">
      <c r="B153" s="233" t="s">
        <v>134</v>
      </c>
      <c r="C153" s="233"/>
      <c r="D153" s="233"/>
      <c r="E153" s="233"/>
      <c r="F153" s="233"/>
      <c r="G153" s="233"/>
      <c r="H153" s="233"/>
      <c r="I153" s="233"/>
      <c r="K153" s="88"/>
      <c r="L153" s="233" t="s">
        <v>134</v>
      </c>
      <c r="M153" s="233"/>
      <c r="N153" s="233"/>
      <c r="O153" s="233"/>
      <c r="P153" s="233"/>
      <c r="Q153" s="233"/>
      <c r="R153" s="233"/>
      <c r="S153" s="233"/>
    </row>
    <row r="154" spans="2:20" ht="4.8" customHeight="1" x14ac:dyDescent="0.3">
      <c r="K154" s="88"/>
    </row>
    <row r="155" spans="2:20" x14ac:dyDescent="0.3">
      <c r="B155" s="18" t="s">
        <v>137</v>
      </c>
      <c r="D155" s="79"/>
      <c r="E155" s="171">
        <f>'COUTS - ANNEXES'!$E$8*C147</f>
        <v>120</v>
      </c>
      <c r="F155" s="172"/>
      <c r="G155" s="79"/>
      <c r="H155" s="171">
        <f>E155/$H$142</f>
        <v>2</v>
      </c>
      <c r="I155" s="172"/>
      <c r="K155" s="88"/>
      <c r="L155" s="18" t="s">
        <v>137</v>
      </c>
      <c r="N155" s="79"/>
      <c r="O155" s="171">
        <f>'COUTS - ANNEXES'!$E$8*M147</f>
        <v>120</v>
      </c>
      <c r="P155" s="172"/>
      <c r="Q155" s="79"/>
      <c r="R155" s="171">
        <f>O155/$R$142</f>
        <v>2</v>
      </c>
      <c r="S155" s="172"/>
      <c r="T155" s="92"/>
    </row>
    <row r="156" spans="2:20" x14ac:dyDescent="0.3">
      <c r="B156" s="18" t="s">
        <v>136</v>
      </c>
      <c r="C156" s="160">
        <v>1</v>
      </c>
      <c r="D156" s="79"/>
      <c r="E156" s="171">
        <f>'COUTS - ANNEXES'!$E$15*C156</f>
        <v>600</v>
      </c>
      <c r="F156" s="172"/>
      <c r="G156" s="79"/>
      <c r="H156" s="171">
        <f>E156/$H$142</f>
        <v>10</v>
      </c>
      <c r="I156" s="172"/>
      <c r="K156" s="88"/>
      <c r="L156" s="18" t="s">
        <v>136</v>
      </c>
      <c r="N156" s="79"/>
      <c r="O156" s="171">
        <f>'COUTS - ANNEXES'!$E$15*M148</f>
        <v>600</v>
      </c>
      <c r="P156" s="172"/>
      <c r="Q156" s="79"/>
      <c r="R156" s="171">
        <f>O156/$R$142</f>
        <v>10</v>
      </c>
      <c r="S156" s="172"/>
    </row>
    <row r="157" spans="2:20" x14ac:dyDescent="0.3">
      <c r="B157" s="18" t="s">
        <v>138</v>
      </c>
      <c r="D157" s="79"/>
      <c r="E157" s="171">
        <f>'COUTS - ANNEXES'!$E$22</f>
        <v>180</v>
      </c>
      <c r="F157" s="172"/>
      <c r="G157" s="79"/>
      <c r="H157" s="171">
        <f>E157/$H$142</f>
        <v>3</v>
      </c>
      <c r="I157" s="172"/>
      <c r="K157" s="88"/>
      <c r="L157" s="18" t="s">
        <v>138</v>
      </c>
      <c r="N157" s="79"/>
      <c r="O157" s="171">
        <f>'COUTS - ANNEXES'!$E$22</f>
        <v>180</v>
      </c>
      <c r="P157" s="172"/>
      <c r="Q157" s="79"/>
      <c r="R157" s="171">
        <f>O157/$R$142</f>
        <v>3</v>
      </c>
      <c r="S157" s="172"/>
    </row>
    <row r="158" spans="2:20" x14ac:dyDescent="0.3">
      <c r="E158" s="234">
        <f>SUM(E155:F157)</f>
        <v>900</v>
      </c>
      <c r="F158" s="235"/>
      <c r="H158" s="234">
        <f>SUM(H155:I157)</f>
        <v>15</v>
      </c>
      <c r="I158" s="235"/>
      <c r="K158" s="88"/>
      <c r="O158" s="234">
        <f>SUM(O155:P157)</f>
        <v>900</v>
      </c>
      <c r="P158" s="235"/>
      <c r="R158" s="234">
        <f>SUM(R155:S157)</f>
        <v>15</v>
      </c>
      <c r="S158" s="235"/>
    </row>
    <row r="159" spans="2:20" ht="7.8" customHeight="1" x14ac:dyDescent="0.3">
      <c r="C159" s="32"/>
      <c r="K159" s="88"/>
      <c r="M159" s="32"/>
    </row>
    <row r="160" spans="2:20" x14ac:dyDescent="0.3">
      <c r="B160" s="233" t="s">
        <v>135</v>
      </c>
      <c r="C160" s="233"/>
      <c r="D160" s="233"/>
      <c r="E160" s="233"/>
      <c r="F160" s="233"/>
      <c r="G160" s="233"/>
      <c r="H160" s="233"/>
      <c r="I160" s="233"/>
      <c r="K160" s="88"/>
      <c r="L160" s="233" t="s">
        <v>135</v>
      </c>
      <c r="M160" s="233"/>
      <c r="N160" s="233"/>
      <c r="O160" s="233"/>
      <c r="P160" s="233"/>
      <c r="Q160" s="233"/>
      <c r="R160" s="233"/>
      <c r="S160" s="233"/>
    </row>
    <row r="161" spans="2:20" ht="4.8" customHeight="1" x14ac:dyDescent="0.3">
      <c r="C161" s="32"/>
      <c r="K161" s="88"/>
      <c r="M161" s="32"/>
    </row>
    <row r="162" spans="2:20" x14ac:dyDescent="0.3">
      <c r="B162" s="18" t="s">
        <v>157</v>
      </c>
      <c r="C162" s="14">
        <v>1</v>
      </c>
      <c r="D162" s="79"/>
      <c r="E162" s="171">
        <f>'COUTS - AGENCEMENT'!$E$8</f>
        <v>1000</v>
      </c>
      <c r="F162" s="172"/>
      <c r="G162" s="79"/>
      <c r="H162" s="171">
        <f>'COUTS - AGENCEMENT'!$F$8</f>
        <v>11.904761904761905</v>
      </c>
      <c r="I162" s="172"/>
      <c r="K162" s="88"/>
      <c r="L162" s="162"/>
      <c r="M162" s="163"/>
      <c r="N162" s="163"/>
      <c r="O162" s="163"/>
      <c r="P162" s="163"/>
      <c r="Q162" s="163"/>
      <c r="R162" s="163"/>
      <c r="T162" s="92"/>
    </row>
    <row r="163" spans="2:20" x14ac:dyDescent="0.3">
      <c r="B163" s="18" t="s">
        <v>158</v>
      </c>
      <c r="C163" s="14">
        <v>1</v>
      </c>
      <c r="D163" s="79"/>
      <c r="E163" s="171">
        <f>'COUTS - AGENCEMENT'!$G$8</f>
        <v>1200</v>
      </c>
      <c r="F163" s="172"/>
      <c r="G163" s="79"/>
      <c r="H163" s="171">
        <f>'COUTS - AGENCEMENT'!$H$8</f>
        <v>14.285714285714286</v>
      </c>
      <c r="I163" s="172"/>
      <c r="K163" s="88"/>
      <c r="L163" s="162"/>
      <c r="M163" s="163"/>
      <c r="N163" s="163"/>
      <c r="O163" s="163"/>
      <c r="P163" s="163"/>
      <c r="Q163" s="163"/>
      <c r="R163" s="163"/>
      <c r="T163" s="92"/>
    </row>
    <row r="164" spans="2:20" x14ac:dyDescent="0.3">
      <c r="B164" s="18" t="s">
        <v>159</v>
      </c>
      <c r="C164" s="14">
        <v>1</v>
      </c>
      <c r="D164" s="79"/>
      <c r="E164" s="171">
        <f>'COUTS - AGENCEMENT'!$I$8</f>
        <v>2200</v>
      </c>
      <c r="F164" s="172"/>
      <c r="G164" s="79"/>
      <c r="H164" s="171">
        <f>'COUTS - AGENCEMENT'!$J$8</f>
        <v>26.19047619047619</v>
      </c>
      <c r="I164" s="172"/>
      <c r="K164" s="88"/>
      <c r="L164" s="162"/>
      <c r="M164" s="163"/>
      <c r="N164" s="163"/>
      <c r="O164" s="163"/>
      <c r="P164" s="163"/>
      <c r="Q164" s="163"/>
      <c r="R164" s="163"/>
      <c r="T164" s="92"/>
    </row>
    <row r="165" spans="2:20" ht="4.8" customHeight="1" x14ac:dyDescent="0.3">
      <c r="K165" s="88"/>
    </row>
    <row r="166" spans="2:20" x14ac:dyDescent="0.3">
      <c r="B166" s="18" t="s">
        <v>160</v>
      </c>
      <c r="C166" s="161">
        <f>F9</f>
        <v>6</v>
      </c>
      <c r="D166" s="79"/>
      <c r="E166" s="234">
        <f>E164*C166</f>
        <v>13200</v>
      </c>
      <c r="F166" s="235"/>
      <c r="H166" s="234">
        <f>H164*C166</f>
        <v>157.14285714285714</v>
      </c>
      <c r="I166" s="235"/>
      <c r="K166" s="88"/>
      <c r="L166" s="167" t="s">
        <v>161</v>
      </c>
      <c r="M166" s="148">
        <f>P9</f>
        <v>3</v>
      </c>
      <c r="N166" s="79"/>
      <c r="O166" s="234">
        <f>M166*E162</f>
        <v>3000</v>
      </c>
      <c r="P166" s="235"/>
      <c r="R166" s="234">
        <f>M166*H162</f>
        <v>35.714285714285715</v>
      </c>
      <c r="S166" s="235"/>
      <c r="T166" s="92"/>
    </row>
    <row r="167" spans="2:20" x14ac:dyDescent="0.3">
      <c r="C167" s="32"/>
      <c r="K167" s="88"/>
      <c r="M167" s="32"/>
    </row>
    <row r="168" spans="2:20" x14ac:dyDescent="0.3">
      <c r="C168" s="81" t="s">
        <v>27</v>
      </c>
      <c r="E168" s="238">
        <f>SUM(E151,E158,E166)</f>
        <v>21600</v>
      </c>
      <c r="F168" s="239"/>
      <c r="H168" s="238">
        <f>SUM(H151,H158,H166)</f>
        <v>247.14285714285714</v>
      </c>
      <c r="I168" s="239"/>
      <c r="K168" s="88"/>
      <c r="M168" s="81" t="s">
        <v>27</v>
      </c>
      <c r="O168" s="238">
        <f>SUM(O151,O158,O166)</f>
        <v>9200</v>
      </c>
      <c r="P168" s="239"/>
      <c r="R168" s="238">
        <f>SUM(R151,R158,R166)</f>
        <v>139.04761904761907</v>
      </c>
      <c r="S168" s="239"/>
      <c r="T168" s="136"/>
    </row>
    <row r="169" spans="2:20" ht="14.4" customHeight="1" x14ac:dyDescent="0.3">
      <c r="K169" s="88"/>
    </row>
    <row r="170" spans="2:20" ht="9" customHeight="1" x14ac:dyDescent="0.3">
      <c r="B170" s="103"/>
      <c r="C170" s="11"/>
      <c r="D170" s="11"/>
      <c r="E170" s="11"/>
      <c r="F170" s="11"/>
      <c r="G170" s="11"/>
      <c r="H170" s="11"/>
      <c r="I170" s="11"/>
      <c r="J170" s="11"/>
      <c r="K170" s="11"/>
      <c r="L170" s="103"/>
      <c r="M170" s="11"/>
      <c r="N170" s="11"/>
      <c r="O170" s="11"/>
      <c r="P170" s="11"/>
      <c r="Q170" s="11"/>
      <c r="R170" s="11"/>
      <c r="S170" s="11"/>
      <c r="T170" s="11"/>
    </row>
    <row r="171" spans="2:20" ht="29.4" customHeight="1" x14ac:dyDescent="0.3">
      <c r="B171" s="231" t="s">
        <v>162</v>
      </c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</row>
    <row r="172" spans="2:20" ht="7.8" customHeight="1" x14ac:dyDescent="0.3">
      <c r="K172" s="88"/>
    </row>
    <row r="173" spans="2:20" x14ac:dyDescent="0.3">
      <c r="B173" s="91" t="s">
        <v>165</v>
      </c>
      <c r="K173" s="88"/>
    </row>
    <row r="174" spans="2:20" ht="7.8" customHeight="1" x14ac:dyDescent="0.3">
      <c r="K174" s="88"/>
    </row>
    <row r="175" spans="2:20" x14ac:dyDescent="0.3">
      <c r="E175" s="187" t="s">
        <v>104</v>
      </c>
      <c r="F175" s="187"/>
      <c r="H175" s="2"/>
      <c r="K175" s="88"/>
      <c r="O175" s="187" t="s">
        <v>104</v>
      </c>
      <c r="P175" s="187"/>
      <c r="R175" s="2"/>
    </row>
    <row r="176" spans="2:20" x14ac:dyDescent="0.3">
      <c r="C176" s="82" t="s">
        <v>27</v>
      </c>
      <c r="E176" s="185">
        <f>E134-H168</f>
        <v>138.89162561576356</v>
      </c>
      <c r="F176" s="186"/>
      <c r="H176" s="2"/>
      <c r="K176" s="88"/>
      <c r="M176" s="82" t="s">
        <v>27</v>
      </c>
      <c r="O176" s="185">
        <f>O134-R168</f>
        <v>376.76029571251115</v>
      </c>
      <c r="P176" s="186"/>
      <c r="R176" s="137"/>
    </row>
    <row r="177" spans="2:20" x14ac:dyDescent="0.3">
      <c r="C177" s="144" t="s">
        <v>139</v>
      </c>
      <c r="E177" s="256">
        <f>IF(E176&lt;0,("N/A"),(E176/E122))</f>
        <v>0.1929050355774494</v>
      </c>
      <c r="F177" s="257"/>
      <c r="H177" s="2"/>
      <c r="K177" s="88"/>
      <c r="M177" s="144" t="s">
        <v>139</v>
      </c>
      <c r="O177" s="256">
        <f>IF(O176&lt;0,("N/A"),(O176/O122))</f>
        <v>0.46391250048790961</v>
      </c>
      <c r="P177" s="257"/>
      <c r="R177" s="137"/>
    </row>
    <row r="178" spans="2:20" ht="14.4" customHeight="1" x14ac:dyDescent="0.3">
      <c r="K178" s="88"/>
    </row>
    <row r="179" spans="2:20" ht="9" customHeight="1" x14ac:dyDescent="0.3">
      <c r="B179" s="103"/>
      <c r="C179" s="11"/>
      <c r="D179" s="11"/>
      <c r="E179" s="11"/>
      <c r="F179" s="11"/>
      <c r="G179" s="11"/>
      <c r="H179" s="11"/>
      <c r="I179" s="11"/>
      <c r="J179" s="11"/>
      <c r="K179" s="11"/>
      <c r="L179" s="103"/>
      <c r="M179" s="11"/>
      <c r="N179" s="11"/>
      <c r="O179" s="11"/>
      <c r="P179" s="11"/>
      <c r="Q179" s="11"/>
      <c r="R179" s="11"/>
      <c r="S179" s="11"/>
      <c r="T179" s="11"/>
    </row>
    <row r="180" spans="2:20" ht="29.4" customHeight="1" x14ac:dyDescent="0.3">
      <c r="B180" s="169" t="s">
        <v>163</v>
      </c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</row>
    <row r="181" spans="2:20" ht="7.8" customHeight="1" x14ac:dyDescent="0.3">
      <c r="K181" s="88"/>
    </row>
    <row r="182" spans="2:20" x14ac:dyDescent="0.3">
      <c r="B182" s="91" t="s">
        <v>164</v>
      </c>
      <c r="K182" s="88"/>
    </row>
    <row r="183" spans="2:20" ht="7.8" customHeight="1" x14ac:dyDescent="0.3">
      <c r="K183" s="88"/>
    </row>
    <row r="184" spans="2:20" x14ac:dyDescent="0.3">
      <c r="E184" s="236">
        <f>E168/E176</f>
        <v>155.51693562688419</v>
      </c>
      <c r="F184" s="237"/>
      <c r="H184" s="1" t="s">
        <v>43</v>
      </c>
      <c r="K184" s="88"/>
      <c r="O184" s="236">
        <f>O168/O176</f>
        <v>24.418708936941982</v>
      </c>
      <c r="P184" s="237"/>
      <c r="R184" s="1" t="s">
        <v>43</v>
      </c>
    </row>
    <row r="185" spans="2:20" x14ac:dyDescent="0.3">
      <c r="C185" s="121" t="s">
        <v>27</v>
      </c>
      <c r="E185" s="223">
        <f>E184/12</f>
        <v>12.959744635573683</v>
      </c>
      <c r="F185" s="224"/>
      <c r="H185" s="1" t="s">
        <v>120</v>
      </c>
      <c r="K185" s="88"/>
      <c r="M185" s="121" t="s">
        <v>27</v>
      </c>
      <c r="O185" s="223">
        <f>O184/12</f>
        <v>2.0348924114118319</v>
      </c>
      <c r="P185" s="224"/>
      <c r="R185" s="1" t="s">
        <v>120</v>
      </c>
    </row>
    <row r="186" spans="2:20" x14ac:dyDescent="0.3">
      <c r="F186" s="92"/>
      <c r="K186" s="88"/>
    </row>
    <row r="187" spans="2:20" ht="9" customHeight="1" x14ac:dyDescent="0.3">
      <c r="B187" s="103"/>
      <c r="C187" s="11"/>
      <c r="D187" s="11"/>
      <c r="E187" s="11"/>
      <c r="F187" s="11"/>
      <c r="G187" s="11"/>
      <c r="H187" s="11"/>
      <c r="I187" s="11"/>
      <c r="J187" s="11"/>
      <c r="K187" s="11"/>
      <c r="L187" s="103"/>
      <c r="M187" s="11"/>
      <c r="N187" s="11"/>
      <c r="O187" s="11"/>
      <c r="P187" s="11"/>
      <c r="Q187" s="11"/>
      <c r="R187" s="11"/>
      <c r="S187" s="11"/>
      <c r="T187" s="11"/>
    </row>
  </sheetData>
  <mergeCells count="195">
    <mergeCell ref="E177:F177"/>
    <mergeCell ref="O177:P177"/>
    <mergeCell ref="E185:F185"/>
    <mergeCell ref="B24:T24"/>
    <mergeCell ref="B25:T25"/>
    <mergeCell ref="B38:T38"/>
    <mergeCell ref="B39:T39"/>
    <mergeCell ref="C28:J29"/>
    <mergeCell ref="B55:T55"/>
    <mergeCell ref="B139:I139"/>
    <mergeCell ref="E141:F141"/>
    <mergeCell ref="H141:I141"/>
    <mergeCell ref="O141:P141"/>
    <mergeCell ref="R141:S141"/>
    <mergeCell ref="L139:S139"/>
    <mergeCell ref="H162:I162"/>
    <mergeCell ref="E156:F156"/>
    <mergeCell ref="H156:I156"/>
    <mergeCell ref="O156:P156"/>
    <mergeCell ref="R156:S156"/>
    <mergeCell ref="E147:F147"/>
    <mergeCell ref="E148:F148"/>
    <mergeCell ref="H147:I147"/>
    <mergeCell ref="L145:S145"/>
    <mergeCell ref="L153:S153"/>
    <mergeCell ref="L160:S160"/>
    <mergeCell ref="O52:P52"/>
    <mergeCell ref="B56:T56"/>
    <mergeCell ref="B98:T98"/>
    <mergeCell ref="B99:T99"/>
    <mergeCell ref="B116:T116"/>
    <mergeCell ref="C106:C110"/>
    <mergeCell ref="E155:F155"/>
    <mergeCell ref="H155:I155"/>
    <mergeCell ref="O155:P155"/>
    <mergeCell ref="R155:S155"/>
    <mergeCell ref="B145:I145"/>
    <mergeCell ref="B153:I153"/>
    <mergeCell ref="E142:F142"/>
    <mergeCell ref="O142:P142"/>
    <mergeCell ref="O147:P147"/>
    <mergeCell ref="R147:S147"/>
    <mergeCell ref="O148:P148"/>
    <mergeCell ref="R148:S148"/>
    <mergeCell ref="O149:P149"/>
    <mergeCell ref="R149:S149"/>
    <mergeCell ref="O150:P150"/>
    <mergeCell ref="R150:S150"/>
    <mergeCell ref="B4:T4"/>
    <mergeCell ref="B5:J5"/>
    <mergeCell ref="L5:T5"/>
    <mergeCell ref="O158:P158"/>
    <mergeCell ref="R158:S158"/>
    <mergeCell ref="O168:P168"/>
    <mergeCell ref="R168:S168"/>
    <mergeCell ref="O132:P132"/>
    <mergeCell ref="R132:S132"/>
    <mergeCell ref="O133:P133"/>
    <mergeCell ref="R133:S133"/>
    <mergeCell ref="O134:P134"/>
    <mergeCell ref="R134:S134"/>
    <mergeCell ref="O144:P144"/>
    <mergeCell ref="R144:S144"/>
    <mergeCell ref="B137:T137"/>
    <mergeCell ref="O120:P120"/>
    <mergeCell ref="R120:S120"/>
    <mergeCell ref="O121:P121"/>
    <mergeCell ref="R121:S121"/>
    <mergeCell ref="O122:P122"/>
    <mergeCell ref="R122:S122"/>
    <mergeCell ref="B125:T125"/>
    <mergeCell ref="E128:F128"/>
    <mergeCell ref="O151:P151"/>
    <mergeCell ref="R151:S151"/>
    <mergeCell ref="E184:F184"/>
    <mergeCell ref="O184:P184"/>
    <mergeCell ref="O33:P33"/>
    <mergeCell ref="R33:S33"/>
    <mergeCell ref="O34:P34"/>
    <mergeCell ref="R34:S34"/>
    <mergeCell ref="O35:P35"/>
    <mergeCell ref="R35:S35"/>
    <mergeCell ref="E176:F176"/>
    <mergeCell ref="E168:F168"/>
    <mergeCell ref="H168:I168"/>
    <mergeCell ref="E158:F158"/>
    <mergeCell ref="H158:I158"/>
    <mergeCell ref="E151:F151"/>
    <mergeCell ref="H151:I151"/>
    <mergeCell ref="E150:F150"/>
    <mergeCell ref="H150:I150"/>
    <mergeCell ref="E175:F175"/>
    <mergeCell ref="H166:I166"/>
    <mergeCell ref="O166:P166"/>
    <mergeCell ref="R166:S166"/>
    <mergeCell ref="E164:F164"/>
    <mergeCell ref="O185:P185"/>
    <mergeCell ref="O131:P131"/>
    <mergeCell ref="R131:S131"/>
    <mergeCell ref="O127:P127"/>
    <mergeCell ref="O128:P128"/>
    <mergeCell ref="O129:P129"/>
    <mergeCell ref="L101:T106"/>
    <mergeCell ref="O108:P108"/>
    <mergeCell ref="O109:P109"/>
    <mergeCell ref="O111:P111"/>
    <mergeCell ref="O112:P112"/>
    <mergeCell ref="O113:P113"/>
    <mergeCell ref="L117:O117"/>
    <mergeCell ref="O119:P119"/>
    <mergeCell ref="R119:S119"/>
    <mergeCell ref="O175:P175"/>
    <mergeCell ref="B171:T171"/>
    <mergeCell ref="O176:P176"/>
    <mergeCell ref="E157:F157"/>
    <mergeCell ref="H157:I157"/>
    <mergeCell ref="O157:P157"/>
    <mergeCell ref="R157:S157"/>
    <mergeCell ref="B160:I160"/>
    <mergeCell ref="E166:F166"/>
    <mergeCell ref="H164:I164"/>
    <mergeCell ref="E162:F162"/>
    <mergeCell ref="E149:F149"/>
    <mergeCell ref="H149:I149"/>
    <mergeCell ref="B117:E117"/>
    <mergeCell ref="E119:F119"/>
    <mergeCell ref="H119:I119"/>
    <mergeCell ref="H121:I121"/>
    <mergeCell ref="E120:F120"/>
    <mergeCell ref="H120:I120"/>
    <mergeCell ref="E121:F121"/>
    <mergeCell ref="E144:F144"/>
    <mergeCell ref="H144:I144"/>
    <mergeCell ref="E131:F131"/>
    <mergeCell ref="H131:I131"/>
    <mergeCell ref="E132:F132"/>
    <mergeCell ref="E129:F129"/>
    <mergeCell ref="E127:F127"/>
    <mergeCell ref="O7:P7"/>
    <mergeCell ref="R7:T7"/>
    <mergeCell ref="L13:M13"/>
    <mergeCell ref="B13:C13"/>
    <mergeCell ref="E35:F35"/>
    <mergeCell ref="H34:I34"/>
    <mergeCell ref="H35:I35"/>
    <mergeCell ref="E34:F34"/>
    <mergeCell ref="C102:J104"/>
    <mergeCell ref="O93:P93"/>
    <mergeCell ref="O44:P44"/>
    <mergeCell ref="O43:P43"/>
    <mergeCell ref="O42:P42"/>
    <mergeCell ref="L75:N75"/>
    <mergeCell ref="C75:G75"/>
    <mergeCell ref="O94:P94"/>
    <mergeCell ref="L81:T82"/>
    <mergeCell ref="L84:T91"/>
    <mergeCell ref="O95:P95"/>
    <mergeCell ref="O46:P46"/>
    <mergeCell ref="O47:P47"/>
    <mergeCell ref="O48:P48"/>
    <mergeCell ref="O50:P50"/>
    <mergeCell ref="O51:P51"/>
    <mergeCell ref="C42:J44"/>
    <mergeCell ref="E52:F52"/>
    <mergeCell ref="E33:F33"/>
    <mergeCell ref="H33:I33"/>
    <mergeCell ref="B7:C7"/>
    <mergeCell ref="E7:F7"/>
    <mergeCell ref="H7:J7"/>
    <mergeCell ref="C31:D31"/>
    <mergeCell ref="L7:M7"/>
    <mergeCell ref="B180:T180"/>
    <mergeCell ref="E163:F163"/>
    <mergeCell ref="H163:I163"/>
    <mergeCell ref="C58:T60"/>
    <mergeCell ref="E122:F122"/>
    <mergeCell ref="H122:I122"/>
    <mergeCell ref="C46:C49"/>
    <mergeCell ref="H52:I52"/>
    <mergeCell ref="E50:F50"/>
    <mergeCell ref="H50:I50"/>
    <mergeCell ref="E51:F51"/>
    <mergeCell ref="H51:I51"/>
    <mergeCell ref="H132:I132"/>
    <mergeCell ref="E133:F133"/>
    <mergeCell ref="H133:I133"/>
    <mergeCell ref="E134:F134"/>
    <mergeCell ref="H134:I134"/>
    <mergeCell ref="E111:F111"/>
    <mergeCell ref="H111:I111"/>
    <mergeCell ref="E112:F112"/>
    <mergeCell ref="H112:I112"/>
    <mergeCell ref="E113:F113"/>
    <mergeCell ref="H113:I113"/>
    <mergeCell ref="H148:I148"/>
  </mergeCells>
  <phoneticPr fontId="23" type="noConversion"/>
  <conditionalFormatting sqref="O42:O43">
    <cfRule type="cellIs" dxfId="20" priority="16" operator="greaterThan">
      <formula>0</formula>
    </cfRule>
  </conditionalFormatting>
  <conditionalFormatting sqref="O42:O44">
    <cfRule type="cellIs" dxfId="19" priority="15" operator="lessThan">
      <formula>0</formula>
    </cfRule>
  </conditionalFormatting>
  <conditionalFormatting sqref="O44">
    <cfRule type="cellIs" dxfId="18" priority="17" stopIfTrue="1" operator="greaterThan">
      <formula>0</formula>
    </cfRule>
  </conditionalFormatting>
  <conditionalFormatting sqref="O46:O48">
    <cfRule type="cellIs" dxfId="17" priority="13" operator="lessThan">
      <formula>0</formula>
    </cfRule>
    <cfRule type="cellIs" dxfId="16" priority="14" operator="greaterThan">
      <formula>0</formula>
    </cfRule>
  </conditionalFormatting>
  <conditionalFormatting sqref="O108">
    <cfRule type="cellIs" dxfId="15" priority="11" operator="lessThan">
      <formula>0</formula>
    </cfRule>
    <cfRule type="cellIs" dxfId="14" priority="12" operator="greater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7BD9-D44A-49F0-8892-2CDE278B19EE}">
  <sheetPr>
    <tabColor theme="1"/>
  </sheetPr>
  <dimension ref="B1:T187"/>
  <sheetViews>
    <sheetView showGridLines="0" zoomScale="90" zoomScaleNormal="90" workbookViewId="0">
      <pane ySplit="5" topLeftCell="A6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1" customWidth="1"/>
    <col min="2" max="2" width="10.33203125" style="32" customWidth="1"/>
    <col min="3" max="3" width="10.33203125" style="1" customWidth="1"/>
    <col min="4" max="4" width="1.6640625" style="1" customWidth="1"/>
    <col min="5" max="5" width="6.77734375" style="1" customWidth="1"/>
    <col min="6" max="6" width="10.33203125" style="1" customWidth="1"/>
    <col min="7" max="7" width="1.6640625" style="1" customWidth="1"/>
    <col min="8" max="8" width="6.77734375" style="1" customWidth="1"/>
    <col min="9" max="10" width="10.33203125" style="1" customWidth="1"/>
    <col min="11" max="11" width="1.5546875" style="1" customWidth="1"/>
    <col min="12" max="12" width="10.33203125" style="32" customWidth="1"/>
    <col min="13" max="13" width="10.33203125" style="1" customWidth="1"/>
    <col min="14" max="14" width="1.6640625" style="1" customWidth="1"/>
    <col min="15" max="15" width="6.77734375" style="1" customWidth="1"/>
    <col min="16" max="16" width="10.33203125" style="1" customWidth="1"/>
    <col min="17" max="17" width="1.6640625" style="1" customWidth="1"/>
    <col min="18" max="18" width="6.77734375" style="1" customWidth="1"/>
    <col min="19" max="20" width="10.33203125" style="1" customWidth="1"/>
    <col min="21" max="16384" width="11.44140625" style="1"/>
  </cols>
  <sheetData>
    <row r="1" spans="2:20" ht="8.5500000000000007" customHeight="1" x14ac:dyDescent="0.3"/>
    <row r="2" spans="2:20" ht="37.950000000000003" customHeight="1" x14ac:dyDescent="0.3">
      <c r="B2" s="13" t="s">
        <v>140</v>
      </c>
      <c r="C2" s="12"/>
      <c r="D2" s="11"/>
      <c r="E2" s="10"/>
      <c r="F2" s="10"/>
      <c r="G2" s="11"/>
      <c r="H2" s="10"/>
      <c r="I2" s="10"/>
      <c r="J2" s="10"/>
      <c r="K2" s="13"/>
      <c r="L2" s="13"/>
      <c r="M2" s="12"/>
      <c r="N2" s="11"/>
      <c r="O2" s="10"/>
      <c r="P2" s="10"/>
      <c r="Q2" s="11"/>
      <c r="R2" s="10"/>
      <c r="S2" s="10"/>
      <c r="T2" s="10"/>
    </row>
    <row r="3" spans="2:20" ht="9" customHeight="1" x14ac:dyDescent="0.3"/>
    <row r="4" spans="2:20" ht="28.2" customHeight="1" x14ac:dyDescent="0.3">
      <c r="B4" s="240" t="s">
        <v>17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</row>
    <row r="5" spans="2:20" ht="25.8" customHeight="1" x14ac:dyDescent="0.3">
      <c r="B5" s="243" t="s">
        <v>131</v>
      </c>
      <c r="C5" s="243"/>
      <c r="D5" s="243"/>
      <c r="E5" s="243"/>
      <c r="F5" s="243"/>
      <c r="G5" s="243"/>
      <c r="H5" s="243"/>
      <c r="I5" s="243"/>
      <c r="J5" s="243"/>
      <c r="K5" s="88"/>
      <c r="L5" s="243" t="s">
        <v>132</v>
      </c>
      <c r="M5" s="243"/>
      <c r="N5" s="243"/>
      <c r="O5" s="243"/>
      <c r="P5" s="243"/>
      <c r="Q5" s="243"/>
      <c r="R5" s="243"/>
      <c r="S5" s="243"/>
      <c r="T5" s="243"/>
    </row>
    <row r="6" spans="2:20" ht="9" customHeight="1" x14ac:dyDescent="0.3">
      <c r="K6" s="88"/>
    </row>
    <row r="7" spans="2:20" x14ac:dyDescent="0.3">
      <c r="B7" s="196" t="s">
        <v>105</v>
      </c>
      <c r="C7" s="196"/>
      <c r="E7" s="196" t="s">
        <v>21</v>
      </c>
      <c r="F7" s="196"/>
      <c r="H7" s="196" t="s">
        <v>142</v>
      </c>
      <c r="I7" s="196"/>
      <c r="J7" s="196"/>
      <c r="K7" s="88"/>
      <c r="L7" s="196" t="s">
        <v>105</v>
      </c>
      <c r="M7" s="196"/>
      <c r="O7" s="196" t="s">
        <v>21</v>
      </c>
      <c r="P7" s="196"/>
      <c r="R7" s="196" t="s">
        <v>142</v>
      </c>
      <c r="S7" s="196"/>
      <c r="T7" s="196"/>
    </row>
    <row r="8" spans="2:20" x14ac:dyDescent="0.3">
      <c r="I8" s="4"/>
      <c r="J8" s="4" t="s">
        <v>22</v>
      </c>
      <c r="K8" s="88"/>
      <c r="S8" s="4"/>
      <c r="T8" s="4" t="s">
        <v>22</v>
      </c>
    </row>
    <row r="9" spans="2:20" x14ac:dyDescent="0.3">
      <c r="B9" s="1" t="s">
        <v>106</v>
      </c>
      <c r="C9" s="138">
        <v>142</v>
      </c>
      <c r="E9" s="1" t="s">
        <v>23</v>
      </c>
      <c r="F9" s="138">
        <v>8</v>
      </c>
      <c r="H9" s="15" t="s">
        <v>0</v>
      </c>
      <c r="I9" s="140">
        <v>0.7</v>
      </c>
      <c r="J9" s="155">
        <v>2.6</v>
      </c>
      <c r="K9" s="88"/>
      <c r="L9" s="1" t="s">
        <v>106</v>
      </c>
      <c r="M9" s="83">
        <v>98</v>
      </c>
      <c r="O9" s="1" t="s">
        <v>23</v>
      </c>
      <c r="P9" s="83">
        <v>6</v>
      </c>
      <c r="R9" s="15" t="s">
        <v>0</v>
      </c>
      <c r="S9" s="84">
        <v>0.7</v>
      </c>
      <c r="T9" s="89">
        <v>2.6</v>
      </c>
    </row>
    <row r="10" spans="2:20" x14ac:dyDescent="0.3">
      <c r="B10" s="1" t="s">
        <v>107</v>
      </c>
      <c r="C10" s="139">
        <v>2.2000000000000002</v>
      </c>
      <c r="H10" s="15" t="s">
        <v>26</v>
      </c>
      <c r="I10" s="140">
        <v>0.3</v>
      </c>
      <c r="J10" s="155">
        <v>2</v>
      </c>
      <c r="K10" s="88"/>
      <c r="L10" s="1" t="s">
        <v>170</v>
      </c>
      <c r="M10" s="85">
        <v>1.5</v>
      </c>
      <c r="R10" s="15" t="s">
        <v>26</v>
      </c>
      <c r="S10" s="84">
        <v>0.3</v>
      </c>
      <c r="T10" s="89">
        <v>1.45</v>
      </c>
    </row>
    <row r="11" spans="2:20" x14ac:dyDescent="0.3">
      <c r="B11" s="1" t="s">
        <v>141</v>
      </c>
      <c r="C11" s="140">
        <v>0.7</v>
      </c>
      <c r="H11" s="1" t="s">
        <v>82</v>
      </c>
      <c r="I11" s="4"/>
      <c r="J11" s="93">
        <f>SUMPRODUCT(J9:J10,I9:I10)/SUM(I9:I10)</f>
        <v>2.42</v>
      </c>
      <c r="K11" s="88"/>
      <c r="L11" s="1" t="s">
        <v>141</v>
      </c>
      <c r="M11" s="84">
        <v>0.7</v>
      </c>
      <c r="R11" s="1" t="s">
        <v>82</v>
      </c>
      <c r="S11" s="4"/>
      <c r="T11" s="100">
        <f>SUMPRODUCT(T9:T10,S9:S10)/SUM(S9:S10)</f>
        <v>2.2549999999999999</v>
      </c>
    </row>
    <row r="12" spans="2:20" x14ac:dyDescent="0.3">
      <c r="K12" s="88"/>
    </row>
    <row r="13" spans="2:20" x14ac:dyDescent="0.3">
      <c r="B13" s="196" t="s">
        <v>36</v>
      </c>
      <c r="C13" s="196"/>
      <c r="K13" s="88"/>
      <c r="L13" s="196" t="s">
        <v>36</v>
      </c>
      <c r="M13" s="196"/>
    </row>
    <row r="14" spans="2:20" ht="9" customHeight="1" x14ac:dyDescent="0.3">
      <c r="K14" s="88"/>
    </row>
    <row r="15" spans="2:20" x14ac:dyDescent="0.3">
      <c r="B15" s="1" t="s">
        <v>109</v>
      </c>
      <c r="C15" s="86">
        <f>C9*C11</f>
        <v>99.399999999999991</v>
      </c>
      <c r="D15" s="1" t="s">
        <v>108</v>
      </c>
      <c r="K15" s="88"/>
      <c r="L15" s="1" t="s">
        <v>109</v>
      </c>
      <c r="M15" s="86">
        <f>M9*M11</f>
        <v>68.599999999999994</v>
      </c>
      <c r="N15" s="1" t="s">
        <v>108</v>
      </c>
    </row>
    <row r="16" spans="2:20" x14ac:dyDescent="0.3">
      <c r="B16" s="1" t="s">
        <v>69</v>
      </c>
      <c r="C16" s="86">
        <f>(C10*C9)*C11</f>
        <v>218.68</v>
      </c>
      <c r="D16" s="1" t="s">
        <v>72</v>
      </c>
      <c r="K16" s="88"/>
      <c r="L16" s="1" t="s">
        <v>69</v>
      </c>
      <c r="M16" s="86">
        <f>(M10*M9)*M11</f>
        <v>102.89999999999999</v>
      </c>
      <c r="N16" s="1" t="s">
        <v>72</v>
      </c>
    </row>
    <row r="17" spans="2:20" x14ac:dyDescent="0.3">
      <c r="B17" s="1" t="s">
        <v>69</v>
      </c>
      <c r="C17" s="86">
        <f>C16*30.5</f>
        <v>6669.74</v>
      </c>
      <c r="D17" s="1" t="s">
        <v>73</v>
      </c>
      <c r="K17" s="88"/>
      <c r="L17" s="1" t="s">
        <v>69</v>
      </c>
      <c r="M17" s="86">
        <f>M16*30.5</f>
        <v>3138.45</v>
      </c>
      <c r="N17" s="1" t="s">
        <v>73</v>
      </c>
    </row>
    <row r="18" spans="2:20" x14ac:dyDescent="0.3">
      <c r="B18" s="1"/>
      <c r="C18" s="87"/>
      <c r="K18" s="88"/>
      <c r="L18" s="1"/>
      <c r="M18" s="106"/>
    </row>
    <row r="19" spans="2:20" x14ac:dyDescent="0.3">
      <c r="B19" s="1" t="s">
        <v>71</v>
      </c>
      <c r="C19" s="149">
        <v>312</v>
      </c>
      <c r="D19" s="1" t="s">
        <v>74</v>
      </c>
      <c r="K19" s="88"/>
      <c r="L19" s="1" t="s">
        <v>71</v>
      </c>
      <c r="M19" s="150">
        <f>M17*$C$21</f>
        <v>146.81177976952625</v>
      </c>
      <c r="N19" s="1" t="s">
        <v>143</v>
      </c>
    </row>
    <row r="20" spans="2:20" ht="7.8" customHeight="1" thickBot="1" x14ac:dyDescent="0.35">
      <c r="B20" s="1"/>
      <c r="C20" s="151"/>
      <c r="K20" s="88"/>
      <c r="L20" s="1"/>
      <c r="M20" s="152"/>
    </row>
    <row r="21" spans="2:20" ht="15" thickBot="1" x14ac:dyDescent="0.35">
      <c r="B21" s="1"/>
      <c r="C21" s="166">
        <f>C19/C17</f>
        <v>4.6778435141399816E-2</v>
      </c>
      <c r="D21" s="91" t="s">
        <v>92</v>
      </c>
      <c r="K21" s="88"/>
      <c r="L21" s="1"/>
      <c r="M21" s="107"/>
    </row>
    <row r="22" spans="2:20" ht="14.4" customHeight="1" x14ac:dyDescent="0.3">
      <c r="K22" s="88"/>
    </row>
    <row r="23" spans="2:20" ht="9" customHeight="1" x14ac:dyDescent="0.3">
      <c r="B23" s="103"/>
      <c r="C23" s="11"/>
      <c r="D23" s="11"/>
      <c r="E23" s="11"/>
      <c r="F23" s="11"/>
      <c r="G23" s="11"/>
      <c r="H23" s="11"/>
      <c r="I23" s="11"/>
      <c r="J23" s="11"/>
      <c r="K23" s="11"/>
      <c r="L23" s="103"/>
      <c r="M23" s="11"/>
      <c r="N23" s="11"/>
      <c r="O23" s="11"/>
      <c r="P23" s="11"/>
      <c r="Q23" s="11"/>
      <c r="R23" s="11"/>
      <c r="S23" s="11"/>
      <c r="T23" s="11"/>
    </row>
    <row r="24" spans="2:20" ht="29.4" customHeight="1" x14ac:dyDescent="0.3">
      <c r="B24" s="231" t="s">
        <v>144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</row>
    <row r="25" spans="2:20" ht="29.4" customHeight="1" x14ac:dyDescent="0.3">
      <c r="B25" s="252" t="s">
        <v>93</v>
      </c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</row>
    <row r="26" spans="2:20" ht="7.8" customHeight="1" x14ac:dyDescent="0.3">
      <c r="K26" s="88"/>
    </row>
    <row r="27" spans="2:20" x14ac:dyDescent="0.3">
      <c r="B27" s="91" t="s">
        <v>80</v>
      </c>
      <c r="C27" s="91" t="s">
        <v>110</v>
      </c>
      <c r="K27" s="88"/>
      <c r="L27" s="98"/>
    </row>
    <row r="28" spans="2:20" ht="14.4" customHeight="1" x14ac:dyDescent="0.3">
      <c r="B28" s="91"/>
      <c r="C28" s="193" t="s">
        <v>96</v>
      </c>
      <c r="D28" s="258"/>
      <c r="E28" s="258"/>
      <c r="F28" s="258"/>
      <c r="G28" s="258"/>
      <c r="H28" s="258"/>
      <c r="I28" s="258"/>
      <c r="J28" s="259"/>
      <c r="K28" s="88"/>
      <c r="L28" s="99"/>
    </row>
    <row r="29" spans="2:20" x14ac:dyDescent="0.3">
      <c r="B29" s="91"/>
      <c r="C29" s="258"/>
      <c r="D29" s="258"/>
      <c r="E29" s="258"/>
      <c r="F29" s="258"/>
      <c r="G29" s="258"/>
      <c r="H29" s="258"/>
      <c r="I29" s="258"/>
      <c r="J29" s="259"/>
      <c r="K29" s="88"/>
      <c r="L29" s="99"/>
    </row>
    <row r="30" spans="2:20" ht="14.4" customHeight="1" thickBot="1" x14ac:dyDescent="0.35">
      <c r="B30" s="91"/>
      <c r="C30" s="141"/>
      <c r="D30" s="141"/>
      <c r="E30" s="141"/>
      <c r="F30" s="141"/>
      <c r="G30" s="141"/>
      <c r="H30" s="141"/>
      <c r="I30" s="141"/>
      <c r="J30" s="142"/>
      <c r="K30" s="88"/>
      <c r="L30" s="99"/>
    </row>
    <row r="31" spans="2:20" ht="15" thickBot="1" x14ac:dyDescent="0.35">
      <c r="C31" s="197">
        <f>C17*$C$21</f>
        <v>312</v>
      </c>
      <c r="D31" s="198"/>
      <c r="E31" s="104" t="s">
        <v>94</v>
      </c>
      <c r="F31" s="8"/>
      <c r="G31" s="8"/>
      <c r="K31" s="88"/>
      <c r="L31" s="99"/>
      <c r="M31" s="165">
        <f>M17*$C$21</f>
        <v>146.81177976952625</v>
      </c>
      <c r="N31" s="105" t="s">
        <v>94</v>
      </c>
    </row>
    <row r="32" spans="2:20" ht="9" customHeight="1" x14ac:dyDescent="0.3">
      <c r="K32" s="88"/>
    </row>
    <row r="33" spans="2:20" ht="15" thickBot="1" x14ac:dyDescent="0.35">
      <c r="E33" s="195" t="s">
        <v>24</v>
      </c>
      <c r="F33" s="195"/>
      <c r="G33" s="8"/>
      <c r="H33" s="195" t="s">
        <v>25</v>
      </c>
      <c r="I33" s="195"/>
      <c r="K33" s="88"/>
      <c r="O33" s="187" t="s">
        <v>24</v>
      </c>
      <c r="P33" s="187"/>
      <c r="R33" s="187"/>
      <c r="S33" s="187"/>
    </row>
    <row r="34" spans="2:20" x14ac:dyDescent="0.3">
      <c r="C34" s="110" t="s">
        <v>0</v>
      </c>
      <c r="D34" s="97"/>
      <c r="E34" s="200">
        <v>1055</v>
      </c>
      <c r="F34" s="200"/>
      <c r="G34" s="97"/>
      <c r="H34" s="200">
        <v>1174</v>
      </c>
      <c r="I34" s="201"/>
      <c r="J34" s="90"/>
      <c r="K34" s="88"/>
      <c r="M34" s="82" t="s">
        <v>0</v>
      </c>
      <c r="O34" s="185">
        <f>($M$31*E34)/$C$31</f>
        <v>496.43085787451986</v>
      </c>
      <c r="P34" s="186"/>
      <c r="R34" s="187"/>
      <c r="S34" s="187"/>
      <c r="T34" s="90"/>
    </row>
    <row r="35" spans="2:20" ht="15" thickBot="1" x14ac:dyDescent="0.35">
      <c r="C35" s="109" t="s">
        <v>26</v>
      </c>
      <c r="D35" s="111"/>
      <c r="E35" s="199">
        <v>424</v>
      </c>
      <c r="F35" s="199"/>
      <c r="G35" s="111"/>
      <c r="H35" s="199">
        <v>508</v>
      </c>
      <c r="I35" s="202"/>
      <c r="J35" s="90"/>
      <c r="K35" s="88"/>
      <c r="M35" s="82" t="s">
        <v>26</v>
      </c>
      <c r="N35" s="32"/>
      <c r="O35" s="185">
        <f>($M$31*E35)/$C$31</f>
        <v>199.51344430217671</v>
      </c>
      <c r="P35" s="186"/>
      <c r="R35" s="187"/>
      <c r="S35" s="187"/>
      <c r="T35" s="90"/>
    </row>
    <row r="36" spans="2:20" ht="14.4" customHeight="1" x14ac:dyDescent="0.3">
      <c r="K36" s="88"/>
    </row>
    <row r="37" spans="2:20" ht="9" customHeight="1" x14ac:dyDescent="0.3">
      <c r="B37" s="103"/>
      <c r="C37" s="11"/>
      <c r="D37" s="11"/>
      <c r="E37" s="11"/>
      <c r="F37" s="11"/>
      <c r="G37" s="11"/>
      <c r="H37" s="11"/>
      <c r="I37" s="11"/>
      <c r="J37" s="11"/>
      <c r="K37" s="11"/>
      <c r="L37" s="103"/>
      <c r="M37" s="11"/>
      <c r="N37" s="11"/>
      <c r="O37" s="11"/>
      <c r="P37" s="11"/>
      <c r="Q37" s="11"/>
      <c r="R37" s="11"/>
      <c r="S37" s="11"/>
      <c r="T37" s="11"/>
    </row>
    <row r="38" spans="2:20" ht="29.4" customHeight="1" x14ac:dyDescent="0.3">
      <c r="B38" s="231" t="s">
        <v>145</v>
      </c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</row>
    <row r="39" spans="2:20" ht="29.4" customHeight="1" x14ac:dyDescent="0.3">
      <c r="B39" s="252" t="s">
        <v>113</v>
      </c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</row>
    <row r="40" spans="2:20" ht="7.8" customHeight="1" x14ac:dyDescent="0.3">
      <c r="K40" s="88"/>
    </row>
    <row r="41" spans="2:20" x14ac:dyDescent="0.3">
      <c r="B41" s="91" t="s">
        <v>81</v>
      </c>
      <c r="C41" s="91" t="s">
        <v>112</v>
      </c>
      <c r="K41" s="88"/>
      <c r="L41" s="98"/>
    </row>
    <row r="42" spans="2:20" ht="14.4" customHeight="1" x14ac:dyDescent="0.3">
      <c r="B42" s="91"/>
      <c r="C42" s="193" t="s">
        <v>111</v>
      </c>
      <c r="D42" s="193"/>
      <c r="E42" s="193"/>
      <c r="F42" s="193"/>
      <c r="G42" s="193"/>
      <c r="H42" s="193"/>
      <c r="I42" s="193"/>
      <c r="J42" s="194"/>
      <c r="K42" s="88"/>
      <c r="L42" s="98"/>
      <c r="M42" s="1" t="s">
        <v>84</v>
      </c>
      <c r="O42" s="207">
        <f>S9-I9</f>
        <v>0</v>
      </c>
      <c r="P42" s="208"/>
    </row>
    <row r="43" spans="2:20" x14ac:dyDescent="0.3">
      <c r="B43" s="91"/>
      <c r="C43" s="193"/>
      <c r="D43" s="193"/>
      <c r="E43" s="193"/>
      <c r="F43" s="193"/>
      <c r="G43" s="193"/>
      <c r="H43" s="193"/>
      <c r="I43" s="193"/>
      <c r="J43" s="194"/>
      <c r="K43" s="88"/>
      <c r="L43" s="98"/>
      <c r="M43" s="1" t="s">
        <v>114</v>
      </c>
      <c r="O43" s="205">
        <f>O42*10</f>
        <v>0</v>
      </c>
      <c r="P43" s="206"/>
    </row>
    <row r="44" spans="2:20" ht="14.4" customHeight="1" x14ac:dyDescent="0.3">
      <c r="B44" s="91"/>
      <c r="C44" s="193"/>
      <c r="D44" s="193"/>
      <c r="E44" s="193"/>
      <c r="F44" s="193"/>
      <c r="G44" s="193"/>
      <c r="H44" s="193"/>
      <c r="I44" s="193"/>
      <c r="J44" s="194"/>
      <c r="K44" s="88"/>
      <c r="L44" s="99"/>
      <c r="M44" s="1" t="s">
        <v>89</v>
      </c>
      <c r="O44" s="203">
        <f>(E51*O43)</f>
        <v>0</v>
      </c>
      <c r="P44" s="204"/>
      <c r="Q44" s="17"/>
    </row>
    <row r="45" spans="2:20" ht="9" customHeight="1" x14ac:dyDescent="0.3">
      <c r="K45" s="88"/>
      <c r="Q45" s="17"/>
    </row>
    <row r="46" spans="2:20" ht="14.4" customHeight="1" x14ac:dyDescent="0.3">
      <c r="C46" s="184" t="s">
        <v>87</v>
      </c>
      <c r="K46" s="88"/>
      <c r="M46" s="1" t="s">
        <v>91</v>
      </c>
      <c r="O46" s="207">
        <f>S10-I10</f>
        <v>0</v>
      </c>
      <c r="P46" s="208"/>
      <c r="Q46" s="17"/>
      <c r="R46" s="17"/>
      <c r="S46" s="17"/>
      <c r="T46" s="17"/>
    </row>
    <row r="47" spans="2:20" ht="14.4" customHeight="1" x14ac:dyDescent="0.3">
      <c r="C47" s="184"/>
      <c r="J47" s="92"/>
      <c r="K47" s="88"/>
      <c r="M47" s="1" t="s">
        <v>114</v>
      </c>
      <c r="O47" s="205">
        <f>O46*10</f>
        <v>0</v>
      </c>
      <c r="P47" s="206"/>
      <c r="Q47" s="17"/>
      <c r="R47" s="17"/>
      <c r="S47" s="17"/>
      <c r="T47" s="17"/>
    </row>
    <row r="48" spans="2:20" ht="14.4" customHeight="1" x14ac:dyDescent="0.3">
      <c r="C48" s="184"/>
      <c r="J48" s="92"/>
      <c r="K48" s="88"/>
      <c r="M48" s="1" t="s">
        <v>90</v>
      </c>
      <c r="O48" s="203">
        <f>(E52*O47)</f>
        <v>0</v>
      </c>
      <c r="P48" s="204"/>
      <c r="Q48" s="17"/>
      <c r="R48" s="17"/>
      <c r="S48" s="17"/>
      <c r="T48" s="17"/>
    </row>
    <row r="49" spans="2:20" ht="9" customHeight="1" x14ac:dyDescent="0.3">
      <c r="C49" s="184"/>
      <c r="J49" s="92"/>
      <c r="K49" s="88"/>
      <c r="M49" s="15"/>
      <c r="O49" s="145"/>
      <c r="P49" s="145"/>
      <c r="Q49" s="17"/>
      <c r="R49" s="17"/>
      <c r="S49" s="17"/>
      <c r="T49" s="17"/>
    </row>
    <row r="50" spans="2:20" x14ac:dyDescent="0.3">
      <c r="E50" s="187" t="s">
        <v>24</v>
      </c>
      <c r="F50" s="187"/>
      <c r="H50" s="187" t="s">
        <v>25</v>
      </c>
      <c r="I50" s="187"/>
      <c r="K50" s="88"/>
      <c r="O50" s="187" t="s">
        <v>24</v>
      </c>
      <c r="P50" s="187"/>
      <c r="Q50" s="17"/>
      <c r="R50" s="17"/>
      <c r="S50" s="17"/>
      <c r="T50" s="17"/>
    </row>
    <row r="51" spans="2:20" x14ac:dyDescent="0.3">
      <c r="C51" s="82" t="s">
        <v>0</v>
      </c>
      <c r="E51" s="185">
        <f>(E34*10%)/$I$9</f>
        <v>150.71428571428572</v>
      </c>
      <c r="F51" s="186"/>
      <c r="H51" s="185">
        <f>(H34*10%)/$I$9</f>
        <v>167.71428571428572</v>
      </c>
      <c r="I51" s="186"/>
      <c r="K51" s="88"/>
      <c r="M51" s="82" t="s">
        <v>0</v>
      </c>
      <c r="N51" s="2"/>
      <c r="O51" s="185">
        <f>O34+O44</f>
        <v>496.43085787451986</v>
      </c>
      <c r="P51" s="186"/>
      <c r="Q51" s="17"/>
      <c r="R51" s="17"/>
      <c r="S51" s="17"/>
      <c r="T51" s="17"/>
    </row>
    <row r="52" spans="2:20" x14ac:dyDescent="0.3">
      <c r="C52" s="82" t="s">
        <v>26</v>
      </c>
      <c r="D52" s="32"/>
      <c r="E52" s="185">
        <f>(E35*10%)/$I$10</f>
        <v>141.33333333333337</v>
      </c>
      <c r="F52" s="186"/>
      <c r="G52" s="32"/>
      <c r="H52" s="185">
        <f>(H35*10%)/$I$10</f>
        <v>169.33333333333334</v>
      </c>
      <c r="I52" s="186"/>
      <c r="K52" s="88"/>
      <c r="M52" s="82" t="s">
        <v>26</v>
      </c>
      <c r="N52" s="2"/>
      <c r="O52" s="185">
        <f>O35+O48</f>
        <v>199.51344430217671</v>
      </c>
      <c r="P52" s="186"/>
      <c r="Q52" s="17"/>
      <c r="R52" s="17"/>
      <c r="S52" s="17"/>
      <c r="T52" s="17"/>
    </row>
    <row r="53" spans="2:20" ht="14.4" customHeight="1" x14ac:dyDescent="0.3">
      <c r="K53" s="88"/>
    </row>
    <row r="54" spans="2:20" ht="9" customHeight="1" x14ac:dyDescent="0.3">
      <c r="B54" s="103"/>
      <c r="C54" s="11"/>
      <c r="D54" s="11"/>
      <c r="E54" s="11"/>
      <c r="F54" s="11"/>
      <c r="G54" s="11"/>
      <c r="H54" s="11"/>
      <c r="I54" s="11"/>
      <c r="J54" s="11"/>
      <c r="K54" s="11"/>
      <c r="L54" s="103"/>
      <c r="M54" s="11"/>
      <c r="N54" s="11"/>
      <c r="O54" s="11"/>
      <c r="P54" s="11"/>
      <c r="Q54" s="11"/>
      <c r="R54" s="11"/>
      <c r="S54" s="11"/>
      <c r="T54" s="11"/>
    </row>
    <row r="55" spans="2:20" ht="29.4" customHeight="1" x14ac:dyDescent="0.3">
      <c r="B55" s="231" t="s">
        <v>146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</row>
    <row r="56" spans="2:20" ht="29.4" customHeight="1" x14ac:dyDescent="0.3">
      <c r="B56" s="252" t="s">
        <v>115</v>
      </c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</row>
    <row r="57" spans="2:20" ht="7.8" customHeight="1" thickBot="1" x14ac:dyDescent="0.35">
      <c r="L57" s="1"/>
    </row>
    <row r="58" spans="2:20" ht="14.4" customHeight="1" x14ac:dyDescent="0.3">
      <c r="B58" s="91" t="s">
        <v>85</v>
      </c>
      <c r="C58" s="173" t="s">
        <v>97</v>
      </c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5"/>
    </row>
    <row r="59" spans="2:20" x14ac:dyDescent="0.3">
      <c r="B59" s="135"/>
      <c r="C59" s="176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8"/>
    </row>
    <row r="60" spans="2:20" ht="15" thickBot="1" x14ac:dyDescent="0.35">
      <c r="C60" s="179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1"/>
    </row>
    <row r="61" spans="2:20" x14ac:dyDescent="0.3">
      <c r="B61" s="108"/>
      <c r="C61" s="108"/>
      <c r="D61" s="108"/>
      <c r="E61" s="108"/>
      <c r="F61" s="108"/>
      <c r="G61" s="108"/>
      <c r="L61" s="1"/>
    </row>
    <row r="62" spans="2:20" x14ac:dyDescent="0.3">
      <c r="C62" s="6" t="s">
        <v>98</v>
      </c>
      <c r="E62" s="16"/>
      <c r="F62" s="16"/>
      <c r="G62" s="108"/>
      <c r="I62" s="16"/>
      <c r="J62" s="16"/>
      <c r="K62" s="16"/>
      <c r="L62" s="2" t="s">
        <v>99</v>
      </c>
      <c r="P62" s="16"/>
    </row>
    <row r="63" spans="2:20" ht="9" customHeight="1" x14ac:dyDescent="0.3">
      <c r="B63" s="1"/>
      <c r="E63" s="16"/>
      <c r="F63" s="16"/>
      <c r="G63" s="108"/>
      <c r="I63" s="16"/>
      <c r="J63" s="16"/>
      <c r="K63" s="16"/>
      <c r="L63" s="1"/>
      <c r="M63" s="32"/>
      <c r="O63" s="16"/>
      <c r="P63" s="16"/>
    </row>
    <row r="64" spans="2:20" x14ac:dyDescent="0.3">
      <c r="C64" s="1" t="s">
        <v>2</v>
      </c>
      <c r="G64" s="108"/>
      <c r="H64" s="134">
        <v>0.1</v>
      </c>
      <c r="I64" s="96">
        <f t="shared" ref="I64:I69" si="0">H64/1</f>
        <v>0.1</v>
      </c>
      <c r="L64" s="1" t="s">
        <v>3</v>
      </c>
      <c r="O64" s="143">
        <v>0.08</v>
      </c>
      <c r="P64" s="9">
        <f t="shared" ref="P64:P66" si="1">O64/1</f>
        <v>0.08</v>
      </c>
    </row>
    <row r="65" spans="2:20" x14ac:dyDescent="0.3">
      <c r="C65" s="1" t="s">
        <v>4</v>
      </c>
      <c r="G65" s="108"/>
      <c r="H65" s="134">
        <v>0.05</v>
      </c>
      <c r="I65" s="3">
        <f t="shared" si="0"/>
        <v>0.05</v>
      </c>
      <c r="L65" s="1" t="s">
        <v>5</v>
      </c>
      <c r="O65" s="143">
        <v>0.05</v>
      </c>
      <c r="P65" s="3">
        <f t="shared" si="1"/>
        <v>0.05</v>
      </c>
      <c r="R65" s="143">
        <v>0.05</v>
      </c>
    </row>
    <row r="66" spans="2:20" x14ac:dyDescent="0.3">
      <c r="C66" s="1" t="s">
        <v>6</v>
      </c>
      <c r="G66" s="108"/>
      <c r="H66" s="134">
        <v>0.1</v>
      </c>
      <c r="I66" s="96">
        <f t="shared" si="0"/>
        <v>0.1</v>
      </c>
      <c r="L66" s="8" t="s">
        <v>7</v>
      </c>
      <c r="O66" s="143">
        <v>0.03</v>
      </c>
      <c r="P66" s="3">
        <f t="shared" si="1"/>
        <v>0.03</v>
      </c>
      <c r="R66" s="143">
        <v>0.03</v>
      </c>
    </row>
    <row r="67" spans="2:20" x14ac:dyDescent="0.3">
      <c r="C67" s="1" t="s">
        <v>8</v>
      </c>
      <c r="G67" s="108"/>
      <c r="H67" s="134">
        <v>0.05</v>
      </c>
      <c r="I67" s="3">
        <f t="shared" si="0"/>
        <v>0.05</v>
      </c>
      <c r="L67" s="8" t="s">
        <v>11</v>
      </c>
      <c r="O67" s="143"/>
      <c r="P67" s="3">
        <f>O67/1</f>
        <v>0</v>
      </c>
      <c r="R67" s="143">
        <v>0.08</v>
      </c>
    </row>
    <row r="68" spans="2:20" x14ac:dyDescent="0.3">
      <c r="C68" s="1" t="s">
        <v>10</v>
      </c>
      <c r="G68" s="108"/>
      <c r="H68" s="134">
        <v>0.1</v>
      </c>
      <c r="I68" s="96">
        <f t="shared" si="0"/>
        <v>0.1</v>
      </c>
      <c r="L68" s="8" t="s">
        <v>13</v>
      </c>
      <c r="O68" s="143"/>
      <c r="P68" s="3">
        <f>O68/1</f>
        <v>0</v>
      </c>
      <c r="R68" s="143">
        <v>0.03</v>
      </c>
    </row>
    <row r="69" spans="2:20" x14ac:dyDescent="0.3">
      <c r="C69" s="1" t="s">
        <v>12</v>
      </c>
      <c r="G69" s="108"/>
      <c r="H69" s="134">
        <v>0.05</v>
      </c>
      <c r="I69" s="3">
        <f t="shared" si="0"/>
        <v>0.05</v>
      </c>
      <c r="L69" s="8" t="s">
        <v>15</v>
      </c>
      <c r="O69" s="143"/>
      <c r="P69" s="3">
        <f>O69/1</f>
        <v>0</v>
      </c>
      <c r="R69" s="143">
        <v>0.03</v>
      </c>
    </row>
    <row r="70" spans="2:20" x14ac:dyDescent="0.3">
      <c r="C70" s="1" t="s">
        <v>14</v>
      </c>
      <c r="F70" s="164"/>
      <c r="G70" s="108"/>
      <c r="H70" s="134">
        <v>0.03</v>
      </c>
      <c r="I70" s="3">
        <f>H70/1</f>
        <v>0.03</v>
      </c>
      <c r="J70" s="134">
        <v>0.03</v>
      </c>
      <c r="L70" s="8" t="s">
        <v>9</v>
      </c>
      <c r="O70" s="143">
        <v>0.03</v>
      </c>
      <c r="P70" s="3">
        <f>O70/1</f>
        <v>0.03</v>
      </c>
      <c r="R70" s="143">
        <v>0.03</v>
      </c>
    </row>
    <row r="71" spans="2:20" x14ac:dyDescent="0.3">
      <c r="B71" s="1"/>
      <c r="G71" s="108"/>
    </row>
    <row r="72" spans="2:20" x14ac:dyDescent="0.3">
      <c r="B72" s="1"/>
      <c r="G72" s="108"/>
      <c r="L72" s="159" t="s">
        <v>172</v>
      </c>
    </row>
    <row r="73" spans="2:20" x14ac:dyDescent="0.3">
      <c r="B73" s="1"/>
      <c r="G73" s="108"/>
      <c r="L73" s="159" t="s">
        <v>171</v>
      </c>
    </row>
    <row r="74" spans="2:20" x14ac:dyDescent="0.3">
      <c r="B74" s="1"/>
      <c r="G74" s="108"/>
    </row>
    <row r="75" spans="2:20" x14ac:dyDescent="0.3">
      <c r="B75" s="1"/>
      <c r="C75" s="209" t="s">
        <v>100</v>
      </c>
      <c r="D75" s="209"/>
      <c r="E75" s="209"/>
      <c r="F75" s="209"/>
      <c r="G75" s="209"/>
      <c r="H75" s="95">
        <f>I75</f>
        <v>0.48</v>
      </c>
      <c r="I75" s="94">
        <f>SUM(I64,I65,I66,I67,I68,I69,I70)</f>
        <v>0.48</v>
      </c>
      <c r="L75" s="209" t="s">
        <v>102</v>
      </c>
      <c r="M75" s="209"/>
      <c r="N75" s="209"/>
      <c r="O75" s="95">
        <f>P75</f>
        <v>0.19</v>
      </c>
      <c r="P75" s="94">
        <f>SUM(P64,P65,P66,P67,P68,P69,P70)</f>
        <v>0.19</v>
      </c>
    </row>
    <row r="76" spans="2:20" ht="7.8" customHeight="1" x14ac:dyDescent="0.3">
      <c r="L76" s="1"/>
    </row>
    <row r="77" spans="2:20" ht="9" customHeight="1" x14ac:dyDescent="0.3">
      <c r="B77" s="103"/>
      <c r="C77" s="11"/>
      <c r="D77" s="11"/>
      <c r="E77" s="11"/>
      <c r="F77" s="11"/>
      <c r="G77" s="11"/>
      <c r="H77" s="11"/>
      <c r="I77" s="11"/>
      <c r="J77" s="11"/>
      <c r="K77" s="88"/>
      <c r="L77" s="103"/>
      <c r="M77" s="11"/>
      <c r="N77" s="11"/>
      <c r="O77" s="11"/>
      <c r="P77" s="11"/>
      <c r="Q77" s="11"/>
      <c r="R77" s="11"/>
      <c r="S77" s="11"/>
      <c r="T77" s="11"/>
    </row>
    <row r="78" spans="2:20" ht="9" customHeight="1" x14ac:dyDescent="0.3">
      <c r="B78" s="1"/>
      <c r="J78" s="101"/>
      <c r="K78" s="88"/>
    </row>
    <row r="79" spans="2:20" ht="15.6" x14ac:dyDescent="0.3">
      <c r="B79" s="1"/>
      <c r="J79" s="101"/>
      <c r="K79" s="88"/>
      <c r="L79" s="153" t="s">
        <v>149</v>
      </c>
      <c r="M79" s="2"/>
      <c r="N79" s="2"/>
      <c r="O79" s="2"/>
      <c r="P79" s="2"/>
      <c r="Q79" s="2"/>
    </row>
    <row r="80" spans="2:20" ht="9" customHeight="1" x14ac:dyDescent="0.3">
      <c r="B80" s="1"/>
      <c r="J80" s="101"/>
      <c r="K80" s="88"/>
    </row>
    <row r="81" spans="2:20" ht="14.4" customHeight="1" x14ac:dyDescent="0.3">
      <c r="B81" s="1"/>
      <c r="J81" s="101"/>
      <c r="K81" s="88"/>
      <c r="L81" s="211" t="s">
        <v>116</v>
      </c>
      <c r="M81" s="212"/>
      <c r="N81" s="212"/>
      <c r="O81" s="212"/>
      <c r="P81" s="212"/>
      <c r="Q81" s="212"/>
      <c r="R81" s="212"/>
      <c r="S81" s="212"/>
      <c r="T81" s="212"/>
    </row>
    <row r="82" spans="2:20" ht="14.4" customHeight="1" x14ac:dyDescent="0.3">
      <c r="B82" s="1"/>
      <c r="J82" s="101"/>
      <c r="K82" s="88"/>
      <c r="L82" s="211"/>
      <c r="M82" s="212"/>
      <c r="N82" s="212"/>
      <c r="O82" s="212"/>
      <c r="P82" s="212"/>
      <c r="Q82" s="212"/>
      <c r="R82" s="212"/>
      <c r="S82" s="212"/>
      <c r="T82" s="212"/>
    </row>
    <row r="83" spans="2:20" ht="8.4" customHeight="1" x14ac:dyDescent="0.3">
      <c r="B83" s="1"/>
      <c r="J83" s="101"/>
      <c r="K83" s="88"/>
      <c r="L83" s="99"/>
    </row>
    <row r="84" spans="2:20" ht="14.4" customHeight="1" x14ac:dyDescent="0.3">
      <c r="B84" s="1"/>
      <c r="J84" s="101"/>
      <c r="K84" s="88"/>
      <c r="L84" s="213" t="s">
        <v>147</v>
      </c>
      <c r="M84" s="214"/>
      <c r="N84" s="214"/>
      <c r="O84" s="214"/>
      <c r="P84" s="214"/>
      <c r="Q84" s="214"/>
      <c r="R84" s="214"/>
      <c r="S84" s="214"/>
      <c r="T84" s="214"/>
    </row>
    <row r="85" spans="2:20" ht="9" customHeight="1" x14ac:dyDescent="0.3">
      <c r="B85" s="1"/>
      <c r="J85" s="101"/>
      <c r="K85" s="88"/>
      <c r="L85" s="213"/>
      <c r="M85" s="214"/>
      <c r="N85" s="214"/>
      <c r="O85" s="214"/>
      <c r="P85" s="214"/>
      <c r="Q85" s="214"/>
      <c r="R85" s="214"/>
      <c r="S85" s="214"/>
      <c r="T85" s="214"/>
    </row>
    <row r="86" spans="2:20" ht="14.4" customHeight="1" x14ac:dyDescent="0.3">
      <c r="B86" s="1"/>
      <c r="J86" s="101"/>
      <c r="K86" s="88"/>
      <c r="L86" s="213"/>
      <c r="M86" s="214"/>
      <c r="N86" s="214"/>
      <c r="O86" s="214"/>
      <c r="P86" s="214"/>
      <c r="Q86" s="214"/>
      <c r="R86" s="214"/>
      <c r="S86" s="214"/>
      <c r="T86" s="214"/>
    </row>
    <row r="87" spans="2:20" ht="14.4" customHeight="1" x14ac:dyDescent="0.3">
      <c r="B87" s="1"/>
      <c r="J87" s="101"/>
      <c r="K87" s="88"/>
      <c r="L87" s="213"/>
      <c r="M87" s="214"/>
      <c r="N87" s="214"/>
      <c r="O87" s="214"/>
      <c r="P87" s="214"/>
      <c r="Q87" s="214"/>
      <c r="R87" s="214"/>
      <c r="S87" s="214"/>
      <c r="T87" s="214"/>
    </row>
    <row r="88" spans="2:20" ht="14.4" customHeight="1" x14ac:dyDescent="0.3">
      <c r="B88" s="1"/>
      <c r="J88" s="101"/>
      <c r="K88" s="88"/>
      <c r="L88" s="213"/>
      <c r="M88" s="214"/>
      <c r="N88" s="214"/>
      <c r="O88" s="214"/>
      <c r="P88" s="214"/>
      <c r="Q88" s="214"/>
      <c r="R88" s="214"/>
      <c r="S88" s="214"/>
      <c r="T88" s="214"/>
    </row>
    <row r="89" spans="2:20" ht="14.4" customHeight="1" x14ac:dyDescent="0.3">
      <c r="B89" s="1"/>
      <c r="J89" s="101"/>
      <c r="K89" s="88"/>
      <c r="L89" s="213"/>
      <c r="M89" s="214"/>
      <c r="N89" s="214"/>
      <c r="O89" s="214"/>
      <c r="P89" s="214"/>
      <c r="Q89" s="214"/>
      <c r="R89" s="214"/>
      <c r="S89" s="214"/>
      <c r="T89" s="214"/>
    </row>
    <row r="90" spans="2:20" ht="14.4" customHeight="1" x14ac:dyDescent="0.3">
      <c r="B90" s="1"/>
      <c r="J90" s="101"/>
      <c r="K90" s="88"/>
      <c r="L90" s="213"/>
      <c r="M90" s="214"/>
      <c r="N90" s="214"/>
      <c r="O90" s="214"/>
      <c r="P90" s="214"/>
      <c r="Q90" s="214"/>
      <c r="R90" s="214"/>
      <c r="S90" s="214"/>
      <c r="T90" s="214"/>
    </row>
    <row r="91" spans="2:20" ht="14.4" customHeight="1" x14ac:dyDescent="0.3">
      <c r="B91" s="1"/>
      <c r="J91" s="101"/>
      <c r="K91" s="88"/>
      <c r="L91" s="213"/>
      <c r="M91" s="214"/>
      <c r="N91" s="214"/>
      <c r="O91" s="214"/>
      <c r="P91" s="214"/>
      <c r="Q91" s="214"/>
      <c r="R91" s="214"/>
      <c r="S91" s="214"/>
      <c r="T91" s="214"/>
    </row>
    <row r="92" spans="2:20" ht="9" customHeight="1" x14ac:dyDescent="0.3">
      <c r="B92" s="1"/>
      <c r="J92" s="101"/>
      <c r="K92" s="88"/>
      <c r="L92" s="99"/>
    </row>
    <row r="93" spans="2:20" x14ac:dyDescent="0.3">
      <c r="B93" s="1"/>
      <c r="J93" s="101"/>
      <c r="K93" s="88"/>
      <c r="L93" s="99"/>
      <c r="O93" s="187" t="s">
        <v>24</v>
      </c>
      <c r="P93" s="187"/>
    </row>
    <row r="94" spans="2:20" ht="14.4" customHeight="1" x14ac:dyDescent="0.3">
      <c r="B94" s="1"/>
      <c r="J94" s="101"/>
      <c r="K94" s="88"/>
      <c r="L94" s="99"/>
      <c r="M94" s="82" t="s">
        <v>0</v>
      </c>
      <c r="N94" s="2"/>
      <c r="O94" s="210">
        <f>IF(O51&lt;0,(O51-(O51*$H$75)),(O51+(O51*$H$75)))</f>
        <v>734.71766965428935</v>
      </c>
      <c r="P94" s="210"/>
    </row>
    <row r="95" spans="2:20" ht="14.4" customHeight="1" x14ac:dyDescent="0.3">
      <c r="B95" s="1"/>
      <c r="J95" s="101"/>
      <c r="K95" s="88"/>
      <c r="L95" s="99"/>
      <c r="M95" s="82" t="s">
        <v>26</v>
      </c>
      <c r="N95" s="2"/>
      <c r="O95" s="210">
        <f>IF(O52&lt;0,(O52-(O52*$O$75)),(O52+(O52*$O$75)))</f>
        <v>237.42099871959027</v>
      </c>
      <c r="P95" s="210"/>
    </row>
    <row r="96" spans="2:20" ht="14.4" customHeight="1" x14ac:dyDescent="0.3">
      <c r="B96" s="1"/>
      <c r="J96" s="101"/>
      <c r="K96" s="88"/>
      <c r="L96" s="99"/>
    </row>
    <row r="97" spans="2:20" ht="9" customHeight="1" x14ac:dyDescent="0.3">
      <c r="B97" s="103"/>
      <c r="C97" s="11"/>
      <c r="D97" s="11"/>
      <c r="E97" s="11"/>
      <c r="F97" s="11"/>
      <c r="G97" s="11"/>
      <c r="H97" s="11"/>
      <c r="I97" s="11"/>
      <c r="J97" s="11"/>
      <c r="K97" s="11"/>
      <c r="L97" s="103"/>
      <c r="M97" s="11"/>
      <c r="N97" s="11"/>
      <c r="O97" s="11"/>
      <c r="P97" s="11"/>
      <c r="Q97" s="11"/>
      <c r="R97" s="11"/>
      <c r="S97" s="11"/>
      <c r="T97" s="11"/>
    </row>
    <row r="98" spans="2:20" ht="29.4" customHeight="1" x14ac:dyDescent="0.3">
      <c r="B98" s="231" t="s">
        <v>148</v>
      </c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</row>
    <row r="99" spans="2:20" ht="29.4" customHeight="1" x14ac:dyDescent="0.3">
      <c r="B99" s="252" t="s">
        <v>117</v>
      </c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</row>
    <row r="100" spans="2:20" ht="7.8" customHeight="1" x14ac:dyDescent="0.3">
      <c r="K100" s="88"/>
      <c r="L100" s="1"/>
    </row>
    <row r="101" spans="2:20" ht="14.4" customHeight="1" x14ac:dyDescent="0.3">
      <c r="B101" s="91" t="s">
        <v>101</v>
      </c>
      <c r="C101" s="91" t="s">
        <v>86</v>
      </c>
      <c r="K101" s="88"/>
      <c r="L101" s="213" t="s">
        <v>119</v>
      </c>
      <c r="M101" s="214"/>
      <c r="N101" s="214"/>
      <c r="O101" s="214"/>
      <c r="P101" s="214"/>
      <c r="Q101" s="214"/>
      <c r="R101" s="214"/>
      <c r="S101" s="214"/>
      <c r="T101" s="214"/>
    </row>
    <row r="102" spans="2:20" ht="14.4" customHeight="1" x14ac:dyDescent="0.3">
      <c r="B102" s="91"/>
      <c r="C102" s="193" t="s">
        <v>176</v>
      </c>
      <c r="D102" s="193"/>
      <c r="E102" s="193"/>
      <c r="F102" s="193"/>
      <c r="G102" s="193"/>
      <c r="H102" s="193"/>
      <c r="I102" s="193"/>
      <c r="J102" s="194"/>
      <c r="K102" s="88"/>
      <c r="L102" s="213"/>
      <c r="M102" s="214"/>
      <c r="N102" s="214"/>
      <c r="O102" s="214"/>
      <c r="P102" s="214"/>
      <c r="Q102" s="214"/>
      <c r="R102" s="214"/>
      <c r="S102" s="214"/>
      <c r="T102" s="214"/>
    </row>
    <row r="103" spans="2:20" x14ac:dyDescent="0.3">
      <c r="B103" s="91"/>
      <c r="C103" s="193"/>
      <c r="D103" s="193"/>
      <c r="E103" s="193"/>
      <c r="F103" s="193"/>
      <c r="G103" s="193"/>
      <c r="H103" s="193"/>
      <c r="I103" s="193"/>
      <c r="J103" s="194"/>
      <c r="K103" s="88"/>
      <c r="L103" s="213"/>
      <c r="M103" s="214"/>
      <c r="N103" s="214"/>
      <c r="O103" s="214"/>
      <c r="P103" s="214"/>
      <c r="Q103" s="214"/>
      <c r="R103" s="214"/>
      <c r="S103" s="214"/>
      <c r="T103" s="214"/>
    </row>
    <row r="104" spans="2:20" x14ac:dyDescent="0.3">
      <c r="B104" s="91"/>
      <c r="C104" s="193"/>
      <c r="D104" s="193"/>
      <c r="E104" s="193"/>
      <c r="F104" s="193"/>
      <c r="G104" s="193"/>
      <c r="H104" s="193"/>
      <c r="I104" s="193"/>
      <c r="J104" s="194"/>
      <c r="K104" s="88"/>
      <c r="L104" s="213"/>
      <c r="M104" s="214"/>
      <c r="N104" s="214"/>
      <c r="O104" s="214"/>
      <c r="P104" s="214"/>
      <c r="Q104" s="214"/>
      <c r="R104" s="214"/>
      <c r="S104" s="214"/>
      <c r="T104" s="214"/>
    </row>
    <row r="105" spans="2:20" x14ac:dyDescent="0.3">
      <c r="K105" s="88"/>
      <c r="L105" s="213"/>
      <c r="M105" s="214"/>
      <c r="N105" s="214"/>
      <c r="O105" s="214"/>
      <c r="P105" s="214"/>
      <c r="Q105" s="214"/>
      <c r="R105" s="214"/>
      <c r="S105" s="214"/>
      <c r="T105" s="214"/>
    </row>
    <row r="106" spans="2:20" ht="14.4" customHeight="1" x14ac:dyDescent="0.3">
      <c r="C106" s="184" t="s">
        <v>87</v>
      </c>
      <c r="K106" s="88"/>
      <c r="L106" s="213"/>
      <c r="M106" s="214"/>
      <c r="N106" s="214"/>
      <c r="O106" s="214"/>
      <c r="P106" s="214"/>
      <c r="Q106" s="214"/>
      <c r="R106" s="214"/>
      <c r="S106" s="214"/>
      <c r="T106" s="214"/>
    </row>
    <row r="107" spans="2:20" ht="14.4" customHeight="1" x14ac:dyDescent="0.3">
      <c r="C107" s="184"/>
      <c r="K107" s="88"/>
      <c r="S107" s="92"/>
    </row>
    <row r="108" spans="2:20" ht="14.4" customHeight="1" x14ac:dyDescent="0.3">
      <c r="C108" s="184"/>
      <c r="K108" s="88"/>
      <c r="M108" s="15" t="s">
        <v>88</v>
      </c>
      <c r="O108" s="227">
        <f>P9-F9</f>
        <v>-2</v>
      </c>
      <c r="P108" s="228"/>
      <c r="R108" s="102"/>
      <c r="S108" s="92"/>
    </row>
    <row r="109" spans="2:20" ht="14.4" customHeight="1" x14ac:dyDescent="0.3">
      <c r="C109" s="184"/>
      <c r="J109" s="92"/>
      <c r="K109" s="88"/>
      <c r="M109" s="15" t="s">
        <v>88</v>
      </c>
      <c r="O109" s="229">
        <f>ABS(P9-F9)</f>
        <v>2</v>
      </c>
      <c r="P109" s="230"/>
      <c r="R109" s="102" t="s">
        <v>103</v>
      </c>
      <c r="T109" s="92"/>
    </row>
    <row r="110" spans="2:20" ht="9" customHeight="1" x14ac:dyDescent="0.3">
      <c r="C110" s="184"/>
      <c r="K110" s="88"/>
    </row>
    <row r="111" spans="2:20" x14ac:dyDescent="0.3">
      <c r="E111" s="187" t="s">
        <v>24</v>
      </c>
      <c r="F111" s="187"/>
      <c r="H111" s="187" t="s">
        <v>25</v>
      </c>
      <c r="I111" s="187"/>
      <c r="K111" s="88"/>
      <c r="O111" s="187" t="s">
        <v>24</v>
      </c>
      <c r="P111" s="187"/>
    </row>
    <row r="112" spans="2:20" x14ac:dyDescent="0.3">
      <c r="C112" s="82" t="s">
        <v>0</v>
      </c>
      <c r="E112" s="185">
        <f>E34/$F$9</f>
        <v>131.875</v>
      </c>
      <c r="F112" s="186"/>
      <c r="H112" s="185">
        <f>H34/$F$9</f>
        <v>146.75</v>
      </c>
      <c r="I112" s="186"/>
      <c r="K112" s="88"/>
      <c r="M112" s="82" t="s">
        <v>0</v>
      </c>
      <c r="O112" s="185">
        <f>IF($O$108&lt;0,(O94-(E112*$O$109)),O94+(E112*$O$109))</f>
        <v>470.96766965428935</v>
      </c>
      <c r="P112" s="186"/>
    </row>
    <row r="113" spans="2:20" x14ac:dyDescent="0.3">
      <c r="C113" s="82" t="s">
        <v>26</v>
      </c>
      <c r="D113" s="32"/>
      <c r="E113" s="185">
        <f>E35/$F$9</f>
        <v>53</v>
      </c>
      <c r="F113" s="186"/>
      <c r="G113" s="32"/>
      <c r="H113" s="185">
        <f>H35/$F$9</f>
        <v>63.5</v>
      </c>
      <c r="I113" s="186"/>
      <c r="K113" s="88"/>
      <c r="M113" s="82" t="s">
        <v>26</v>
      </c>
      <c r="N113" s="32"/>
      <c r="O113" s="185">
        <f>IF($O$108&lt;0,(O95-(E113*$O$109)),O95+(E113*$O$109))</f>
        <v>131.42099871959027</v>
      </c>
      <c r="P113" s="186"/>
    </row>
    <row r="114" spans="2:20" ht="14.4" customHeight="1" x14ac:dyDescent="0.3">
      <c r="K114" s="88"/>
    </row>
    <row r="115" spans="2:20" ht="9" customHeight="1" x14ac:dyDescent="0.3">
      <c r="B115" s="103"/>
      <c r="C115" s="11"/>
      <c r="D115" s="11"/>
      <c r="E115" s="11"/>
      <c r="F115" s="11"/>
      <c r="G115" s="11"/>
      <c r="H115" s="11"/>
      <c r="I115" s="11"/>
      <c r="J115" s="11"/>
      <c r="K115" s="11"/>
      <c r="L115" s="103"/>
      <c r="M115" s="11"/>
      <c r="N115" s="11"/>
      <c r="O115" s="11"/>
      <c r="P115" s="11"/>
      <c r="Q115" s="11"/>
      <c r="R115" s="11"/>
      <c r="S115" s="11"/>
      <c r="T115" s="11"/>
    </row>
    <row r="116" spans="2:20" ht="29.4" customHeight="1" x14ac:dyDescent="0.3">
      <c r="B116" s="248" t="s">
        <v>150</v>
      </c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</row>
    <row r="117" spans="2:20" ht="29.4" customHeight="1" x14ac:dyDescent="0.3">
      <c r="B117" s="215" t="s">
        <v>75</v>
      </c>
      <c r="C117" s="215"/>
      <c r="D117" s="215"/>
      <c r="E117" s="215"/>
      <c r="F117" s="154">
        <f>C31</f>
        <v>312</v>
      </c>
      <c r="G117" s="5" t="s">
        <v>76</v>
      </c>
      <c r="H117" s="5"/>
      <c r="I117" s="5"/>
      <c r="J117" s="5"/>
      <c r="K117" s="88"/>
      <c r="L117" s="215" t="s">
        <v>75</v>
      </c>
      <c r="M117" s="215"/>
      <c r="N117" s="215"/>
      <c r="O117" s="215"/>
      <c r="P117" s="154">
        <f>M31</f>
        <v>146.81177976952625</v>
      </c>
      <c r="Q117" s="5" t="s">
        <v>76</v>
      </c>
      <c r="R117" s="5"/>
      <c r="S117" s="5"/>
      <c r="T117" s="5"/>
    </row>
    <row r="118" spans="2:20" ht="7.8" customHeight="1" x14ac:dyDescent="0.3">
      <c r="K118" s="88"/>
    </row>
    <row r="119" spans="2:20" ht="15" thickBot="1" x14ac:dyDescent="0.35">
      <c r="E119" s="195" t="s">
        <v>24</v>
      </c>
      <c r="F119" s="195"/>
      <c r="H119" s="195" t="s">
        <v>25</v>
      </c>
      <c r="I119" s="195"/>
      <c r="K119" s="88"/>
      <c r="O119" s="187" t="s">
        <v>24</v>
      </c>
      <c r="P119" s="187"/>
      <c r="R119" s="187"/>
      <c r="S119" s="187"/>
    </row>
    <row r="120" spans="2:20" x14ac:dyDescent="0.3">
      <c r="C120" s="115" t="s">
        <v>0</v>
      </c>
      <c r="D120" s="116"/>
      <c r="E120" s="218">
        <f>E34</f>
        <v>1055</v>
      </c>
      <c r="F120" s="218"/>
      <c r="G120" s="116"/>
      <c r="H120" s="218">
        <f>H34</f>
        <v>1174</v>
      </c>
      <c r="I120" s="219"/>
      <c r="J120" s="90"/>
      <c r="K120" s="88"/>
      <c r="M120" s="15" t="s">
        <v>0</v>
      </c>
      <c r="O120" s="246">
        <f>O112</f>
        <v>470.96766965428935</v>
      </c>
      <c r="P120" s="247"/>
      <c r="R120" s="187"/>
      <c r="S120" s="187"/>
      <c r="T120" s="90"/>
    </row>
    <row r="121" spans="2:20" x14ac:dyDescent="0.3">
      <c r="C121" s="117" t="s">
        <v>26</v>
      </c>
      <c r="D121" s="118"/>
      <c r="E121" s="216">
        <f>E35</f>
        <v>424</v>
      </c>
      <c r="F121" s="216"/>
      <c r="G121" s="118"/>
      <c r="H121" s="216">
        <f>H35</f>
        <v>508</v>
      </c>
      <c r="I121" s="217"/>
      <c r="J121" s="90"/>
      <c r="K121" s="88"/>
      <c r="M121" s="15" t="s">
        <v>26</v>
      </c>
      <c r="O121" s="246">
        <f>O113</f>
        <v>131.42099871959027</v>
      </c>
      <c r="P121" s="247"/>
      <c r="R121" s="187"/>
      <c r="S121" s="187"/>
      <c r="T121" s="90"/>
    </row>
    <row r="122" spans="2:20" ht="15" thickBot="1" x14ac:dyDescent="0.35">
      <c r="C122" s="112" t="s">
        <v>27</v>
      </c>
      <c r="D122" s="113"/>
      <c r="E122" s="182">
        <f>SUM(E120:F121)</f>
        <v>1479</v>
      </c>
      <c r="F122" s="182"/>
      <c r="G122" s="114"/>
      <c r="H122" s="182">
        <f>SUM(H120:I121)</f>
        <v>1682</v>
      </c>
      <c r="I122" s="183"/>
      <c r="K122" s="88"/>
      <c r="M122" s="80" t="s">
        <v>27</v>
      </c>
      <c r="O122" s="191">
        <f>SUM(O120:P121)</f>
        <v>602.38866837387968</v>
      </c>
      <c r="P122" s="192"/>
      <c r="R122" s="187"/>
      <c r="S122" s="187"/>
    </row>
    <row r="123" spans="2:20" ht="14.4" customHeight="1" x14ac:dyDescent="0.3">
      <c r="K123" s="88"/>
    </row>
    <row r="124" spans="2:20" ht="9" customHeight="1" x14ac:dyDescent="0.3">
      <c r="B124" s="103"/>
      <c r="C124" s="11"/>
      <c r="D124" s="11"/>
      <c r="E124" s="11"/>
      <c r="F124" s="11"/>
      <c r="G124" s="11"/>
      <c r="H124" s="11"/>
      <c r="I124" s="11"/>
      <c r="J124" s="11"/>
      <c r="K124" s="11"/>
      <c r="L124" s="103"/>
      <c r="M124" s="11"/>
      <c r="N124" s="11"/>
      <c r="O124" s="11"/>
      <c r="P124" s="11"/>
      <c r="Q124" s="11"/>
      <c r="R124" s="11"/>
      <c r="S124" s="11"/>
      <c r="T124" s="11"/>
    </row>
    <row r="125" spans="2:20" ht="29.4" customHeight="1" x14ac:dyDescent="0.3">
      <c r="B125" s="248" t="s">
        <v>151</v>
      </c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</row>
    <row r="126" spans="2:20" ht="7.8" customHeight="1" x14ac:dyDescent="0.3">
      <c r="K126" s="88"/>
    </row>
    <row r="127" spans="2:20" ht="15" thickBot="1" x14ac:dyDescent="0.35">
      <c r="E127" s="195" t="s">
        <v>152</v>
      </c>
      <c r="F127" s="195"/>
      <c r="K127" s="88"/>
      <c r="O127" s="187" t="s">
        <v>152</v>
      </c>
      <c r="P127" s="187"/>
    </row>
    <row r="128" spans="2:20" x14ac:dyDescent="0.3">
      <c r="C128" s="158" t="s">
        <v>0</v>
      </c>
      <c r="D128" s="8"/>
      <c r="E128" s="250">
        <f>J9</f>
        <v>2.6</v>
      </c>
      <c r="F128" s="251"/>
      <c r="K128" s="88"/>
      <c r="M128" s="119" t="s">
        <v>0</v>
      </c>
      <c r="O128" s="225">
        <f>T9</f>
        <v>2.6</v>
      </c>
      <c r="P128" s="226"/>
    </row>
    <row r="129" spans="2:20" ht="15" thickBot="1" x14ac:dyDescent="0.35">
      <c r="C129" s="158" t="s">
        <v>26</v>
      </c>
      <c r="D129" s="8"/>
      <c r="E129" s="221">
        <f>J10</f>
        <v>2</v>
      </c>
      <c r="F129" s="222"/>
      <c r="K129" s="88"/>
      <c r="M129" s="119" t="s">
        <v>26</v>
      </c>
      <c r="O129" s="225">
        <f>T10</f>
        <v>1.45</v>
      </c>
      <c r="P129" s="226"/>
    </row>
    <row r="130" spans="2:20" ht="7.8" customHeight="1" x14ac:dyDescent="0.3">
      <c r="K130" s="88"/>
    </row>
    <row r="131" spans="2:20" x14ac:dyDescent="0.3">
      <c r="E131" s="187" t="s">
        <v>104</v>
      </c>
      <c r="F131" s="187"/>
      <c r="H131" s="187"/>
      <c r="I131" s="187"/>
      <c r="K131" s="88"/>
      <c r="O131" s="187" t="s">
        <v>104</v>
      </c>
      <c r="P131" s="187"/>
      <c r="R131" s="187"/>
      <c r="S131" s="187"/>
    </row>
    <row r="132" spans="2:20" x14ac:dyDescent="0.3">
      <c r="C132" s="119" t="s">
        <v>0</v>
      </c>
      <c r="D132" s="17"/>
      <c r="E132" s="189">
        <f>E120-(E120/$E$128)</f>
        <v>649.23076923076928</v>
      </c>
      <c r="F132" s="190"/>
      <c r="H132" s="188"/>
      <c r="I132" s="187"/>
      <c r="K132" s="88"/>
      <c r="M132" s="119" t="s">
        <v>0</v>
      </c>
      <c r="N132" s="17"/>
      <c r="O132" s="189">
        <f>O120-(O120/$O$128)</f>
        <v>289.82625824879347</v>
      </c>
      <c r="P132" s="190"/>
      <c r="R132" s="188"/>
      <c r="S132" s="187"/>
    </row>
    <row r="133" spans="2:20" x14ac:dyDescent="0.3">
      <c r="C133" s="119" t="s">
        <v>26</v>
      </c>
      <c r="D133" s="17"/>
      <c r="E133" s="189">
        <f>E121-(E121/$E$129)</f>
        <v>212</v>
      </c>
      <c r="F133" s="190"/>
      <c r="H133" s="187"/>
      <c r="I133" s="187"/>
      <c r="K133" s="88"/>
      <c r="M133" s="119" t="s">
        <v>26</v>
      </c>
      <c r="N133" s="17"/>
      <c r="O133" s="189">
        <f>O121-(O121/$O$129)</f>
        <v>40.785827188838354</v>
      </c>
      <c r="P133" s="190"/>
      <c r="R133" s="187"/>
      <c r="S133" s="187"/>
    </row>
    <row r="134" spans="2:20" x14ac:dyDescent="0.3">
      <c r="C134" s="80" t="s">
        <v>27</v>
      </c>
      <c r="E134" s="191">
        <f>SUM(E132:F133)</f>
        <v>861.23076923076928</v>
      </c>
      <c r="F134" s="192"/>
      <c r="H134" s="187"/>
      <c r="I134" s="187"/>
      <c r="K134" s="88"/>
      <c r="M134" s="80" t="s">
        <v>27</v>
      </c>
      <c r="O134" s="191">
        <f>SUM(O132:P133)</f>
        <v>330.61208543763183</v>
      </c>
      <c r="P134" s="192"/>
      <c r="R134" s="187"/>
      <c r="S134" s="187"/>
    </row>
    <row r="135" spans="2:20" ht="14.4" customHeight="1" x14ac:dyDescent="0.3">
      <c r="K135" s="88"/>
    </row>
    <row r="136" spans="2:20" ht="9" customHeight="1" x14ac:dyDescent="0.3">
      <c r="B136" s="103"/>
      <c r="C136" s="11"/>
      <c r="D136" s="11"/>
      <c r="E136" s="11"/>
      <c r="F136" s="11"/>
      <c r="G136" s="11"/>
      <c r="H136" s="11"/>
      <c r="I136" s="11"/>
      <c r="J136" s="11"/>
      <c r="K136" s="11"/>
      <c r="L136" s="103"/>
      <c r="M136" s="11"/>
      <c r="N136" s="11"/>
      <c r="O136" s="11"/>
      <c r="P136" s="11"/>
      <c r="Q136" s="11"/>
      <c r="R136" s="11"/>
      <c r="S136" s="11"/>
      <c r="T136" s="11"/>
    </row>
    <row r="137" spans="2:20" ht="29.4" customHeight="1" x14ac:dyDescent="0.3">
      <c r="B137" s="244" t="s">
        <v>29</v>
      </c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</row>
    <row r="138" spans="2:20" ht="7.8" customHeight="1" x14ac:dyDescent="0.3">
      <c r="K138" s="88"/>
    </row>
    <row r="139" spans="2:20" x14ac:dyDescent="0.3">
      <c r="B139" s="233" t="s">
        <v>153</v>
      </c>
      <c r="C139" s="233"/>
      <c r="D139" s="233"/>
      <c r="E139" s="233"/>
      <c r="F139" s="233"/>
      <c r="G139" s="233"/>
      <c r="H139" s="233"/>
      <c r="I139" s="233"/>
      <c r="K139" s="88"/>
      <c r="L139" s="233" t="s">
        <v>153</v>
      </c>
      <c r="M139" s="233"/>
      <c r="N139" s="233"/>
      <c r="O139" s="233"/>
      <c r="P139" s="233"/>
      <c r="Q139" s="233"/>
      <c r="R139" s="233"/>
      <c r="S139" s="233"/>
    </row>
    <row r="140" spans="2:20" ht="4.8" customHeight="1" x14ac:dyDescent="0.3">
      <c r="C140" s="32"/>
      <c r="K140" s="88"/>
      <c r="M140" s="32"/>
    </row>
    <row r="141" spans="2:20" x14ac:dyDescent="0.3">
      <c r="B141" s="18" t="s">
        <v>154</v>
      </c>
      <c r="C141" s="15"/>
      <c r="D141" s="79"/>
      <c r="E141" s="260" t="s">
        <v>121</v>
      </c>
      <c r="F141" s="261"/>
      <c r="G141" s="79"/>
      <c r="H141" s="260" t="s">
        <v>122</v>
      </c>
      <c r="I141" s="261"/>
      <c r="K141" s="88"/>
      <c r="L141" s="18" t="s">
        <v>154</v>
      </c>
      <c r="M141" s="15"/>
      <c r="N141" s="79"/>
      <c r="O141" s="260" t="s">
        <v>121</v>
      </c>
      <c r="P141" s="261"/>
      <c r="Q141" s="79"/>
      <c r="R141" s="260" t="s">
        <v>122</v>
      </c>
      <c r="S141" s="261"/>
      <c r="T141" s="92"/>
    </row>
    <row r="142" spans="2:20" x14ac:dyDescent="0.3">
      <c r="B142" s="18" t="s">
        <v>155</v>
      </c>
      <c r="E142" s="254" t="s">
        <v>156</v>
      </c>
      <c r="F142" s="255"/>
      <c r="H142" s="156">
        <v>60</v>
      </c>
      <c r="I142" s="157" t="s">
        <v>43</v>
      </c>
      <c r="K142" s="88"/>
      <c r="L142" s="18" t="s">
        <v>155</v>
      </c>
      <c r="O142" s="254" t="s">
        <v>156</v>
      </c>
      <c r="P142" s="255"/>
      <c r="R142" s="156">
        <v>60</v>
      </c>
      <c r="S142" s="157" t="s">
        <v>43</v>
      </c>
      <c r="T142" s="92"/>
    </row>
    <row r="143" spans="2:20" ht="7.8" customHeight="1" x14ac:dyDescent="0.3">
      <c r="K143" s="88"/>
    </row>
    <row r="144" spans="2:20" x14ac:dyDescent="0.3">
      <c r="E144" s="220" t="s">
        <v>27</v>
      </c>
      <c r="F144" s="220"/>
      <c r="H144" s="220" t="s">
        <v>65</v>
      </c>
      <c r="I144" s="220"/>
      <c r="K144" s="88"/>
      <c r="O144" s="220" t="s">
        <v>27</v>
      </c>
      <c r="P144" s="220"/>
      <c r="R144" s="220" t="s">
        <v>65</v>
      </c>
      <c r="S144" s="220"/>
    </row>
    <row r="145" spans="2:20" x14ac:dyDescent="0.3">
      <c r="B145" s="233" t="s">
        <v>133</v>
      </c>
      <c r="C145" s="233"/>
      <c r="D145" s="233"/>
      <c r="E145" s="233"/>
      <c r="F145" s="233"/>
      <c r="G145" s="233"/>
      <c r="H145" s="233"/>
      <c r="I145" s="233"/>
      <c r="K145" s="88"/>
      <c r="L145" s="233" t="s">
        <v>133</v>
      </c>
      <c r="M145" s="233"/>
      <c r="N145" s="233"/>
      <c r="O145" s="233"/>
      <c r="P145" s="233"/>
      <c r="Q145" s="233"/>
      <c r="R145" s="233"/>
      <c r="S145" s="233"/>
    </row>
    <row r="146" spans="2:20" ht="4.8" customHeight="1" x14ac:dyDescent="0.3">
      <c r="C146" s="32"/>
      <c r="K146" s="88"/>
      <c r="M146" s="32"/>
    </row>
    <row r="147" spans="2:20" x14ac:dyDescent="0.3">
      <c r="B147" s="146" t="s">
        <v>70</v>
      </c>
      <c r="C147" s="160">
        <v>1</v>
      </c>
      <c r="D147" s="79"/>
      <c r="E147" s="171">
        <f>'COUTS - TECHNOS'!$L$8*C147</f>
        <v>15000</v>
      </c>
      <c r="F147" s="172"/>
      <c r="G147" s="79"/>
      <c r="H147" s="171">
        <f>E147/$H$142</f>
        <v>250</v>
      </c>
      <c r="I147" s="172"/>
      <c r="K147" s="88"/>
      <c r="L147" s="146" t="s">
        <v>70</v>
      </c>
      <c r="M147" s="147">
        <v>1</v>
      </c>
      <c r="N147" s="79"/>
      <c r="O147" s="171">
        <f>'COUTS - TECHNOS'!$E$8*M147</f>
        <v>500</v>
      </c>
      <c r="P147" s="172"/>
      <c r="Q147" s="79"/>
      <c r="R147" s="171">
        <f>O147/$R$142</f>
        <v>8.3333333333333339</v>
      </c>
      <c r="S147" s="172"/>
      <c r="T147" s="92"/>
    </row>
    <row r="148" spans="2:20" x14ac:dyDescent="0.3">
      <c r="B148" s="146" t="s">
        <v>67</v>
      </c>
      <c r="C148" s="160">
        <v>1</v>
      </c>
      <c r="D148" s="79"/>
      <c r="E148" s="171">
        <f>'COUTS - TECHNOS'!$L$15*C148</f>
        <v>800</v>
      </c>
      <c r="F148" s="172"/>
      <c r="G148" s="79"/>
      <c r="H148" s="171">
        <f>E148/$H$142</f>
        <v>13.333333333333334</v>
      </c>
      <c r="I148" s="172"/>
      <c r="K148" s="88"/>
      <c r="L148" s="146" t="s">
        <v>67</v>
      </c>
      <c r="M148" s="147">
        <v>1</v>
      </c>
      <c r="N148" s="79"/>
      <c r="O148" s="171">
        <f>'COUTS - TECHNOS'!$E$15*M148</f>
        <v>800</v>
      </c>
      <c r="P148" s="172"/>
      <c r="Q148" s="79"/>
      <c r="R148" s="171">
        <f>O148/$R$142</f>
        <v>13.333333333333334</v>
      </c>
      <c r="S148" s="172"/>
    </row>
    <row r="149" spans="2:20" x14ac:dyDescent="0.3">
      <c r="B149" s="18" t="s">
        <v>68</v>
      </c>
      <c r="C149" s="14">
        <v>1</v>
      </c>
      <c r="D149" s="79"/>
      <c r="E149" s="171">
        <f>'COUTS - TECHNOS'!$M$22</f>
        <v>3000</v>
      </c>
      <c r="F149" s="172">
        <f>'COUTS - TECHNOS'!E22</f>
        <v>3000</v>
      </c>
      <c r="G149" s="79"/>
      <c r="H149" s="171">
        <f>E149/$H$142</f>
        <v>50</v>
      </c>
      <c r="I149" s="172"/>
      <c r="K149" s="88"/>
      <c r="L149" s="18" t="s">
        <v>68</v>
      </c>
      <c r="N149" s="79"/>
      <c r="O149" s="171">
        <f>'COUTS - TECHNOS'!$E$22</f>
        <v>3000</v>
      </c>
      <c r="P149" s="172">
        <f>'COUTS - TECHNOS'!O22</f>
        <v>0</v>
      </c>
      <c r="Q149" s="79"/>
      <c r="R149" s="171">
        <f>O149/$R$142</f>
        <v>50</v>
      </c>
      <c r="S149" s="172"/>
      <c r="T149" s="92"/>
    </row>
    <row r="150" spans="2:20" x14ac:dyDescent="0.3">
      <c r="B150" s="18" t="s">
        <v>83</v>
      </c>
      <c r="D150" s="79"/>
      <c r="E150" s="171">
        <f>'COUTS - TECHNOS'!$M$26</f>
        <v>2000</v>
      </c>
      <c r="F150" s="172"/>
      <c r="G150" s="79"/>
      <c r="H150" s="171">
        <f>E150/$H$142</f>
        <v>33.333333333333336</v>
      </c>
      <c r="I150" s="172"/>
      <c r="K150" s="88"/>
      <c r="L150" s="18" t="s">
        <v>83</v>
      </c>
      <c r="N150" s="79"/>
      <c r="O150" s="171">
        <f>'COUTS - TECHNOS'!$E$26</f>
        <v>1000</v>
      </c>
      <c r="P150" s="172"/>
      <c r="Q150" s="79"/>
      <c r="R150" s="171">
        <f>O150/$R$142</f>
        <v>16.666666666666668</v>
      </c>
      <c r="S150" s="172"/>
    </row>
    <row r="151" spans="2:20" x14ac:dyDescent="0.3">
      <c r="E151" s="234">
        <f>SUM(E147:F150)</f>
        <v>23800</v>
      </c>
      <c r="F151" s="235"/>
      <c r="H151" s="234">
        <f>SUM(H147:I150)</f>
        <v>346.66666666666663</v>
      </c>
      <c r="I151" s="235"/>
      <c r="K151" s="88"/>
      <c r="O151" s="234">
        <f>SUM(O147:P150)</f>
        <v>5300</v>
      </c>
      <c r="P151" s="235"/>
      <c r="R151" s="234">
        <f>SUM(R147:S150)</f>
        <v>88.333333333333343</v>
      </c>
      <c r="S151" s="235"/>
    </row>
    <row r="152" spans="2:20" ht="7.8" customHeight="1" x14ac:dyDescent="0.3">
      <c r="C152" s="32"/>
      <c r="K152" s="88"/>
      <c r="M152" s="32"/>
    </row>
    <row r="153" spans="2:20" x14ac:dyDescent="0.3">
      <c r="B153" s="233" t="s">
        <v>134</v>
      </c>
      <c r="C153" s="233"/>
      <c r="D153" s="233"/>
      <c r="E153" s="233"/>
      <c r="F153" s="233"/>
      <c r="G153" s="233"/>
      <c r="H153" s="233"/>
      <c r="I153" s="233"/>
      <c r="K153" s="88"/>
      <c r="L153" s="233" t="s">
        <v>134</v>
      </c>
      <c r="M153" s="233"/>
      <c r="N153" s="233"/>
      <c r="O153" s="233"/>
      <c r="P153" s="233"/>
      <c r="Q153" s="233"/>
      <c r="R153" s="233"/>
      <c r="S153" s="233"/>
    </row>
    <row r="154" spans="2:20" ht="4.8" customHeight="1" x14ac:dyDescent="0.3">
      <c r="K154" s="88"/>
    </row>
    <row r="155" spans="2:20" x14ac:dyDescent="0.3">
      <c r="B155" s="18" t="s">
        <v>169</v>
      </c>
      <c r="D155" s="79"/>
      <c r="E155" s="171">
        <f>'COUTS - ANNEXES'!$K$8*C147</f>
        <v>600</v>
      </c>
      <c r="F155" s="172"/>
      <c r="G155" s="79"/>
      <c r="H155" s="171">
        <f>E155/$H$142</f>
        <v>10</v>
      </c>
      <c r="I155" s="172"/>
      <c r="K155" s="88"/>
      <c r="L155" s="18" t="s">
        <v>169</v>
      </c>
      <c r="N155" s="79"/>
      <c r="O155" s="171">
        <f>'COUTS - ANNEXES'!$K$8*M147</f>
        <v>600</v>
      </c>
      <c r="P155" s="172"/>
      <c r="Q155" s="79"/>
      <c r="R155" s="171">
        <f>O155/$R$142</f>
        <v>10</v>
      </c>
      <c r="S155" s="172"/>
      <c r="T155" s="92"/>
    </row>
    <row r="156" spans="2:20" x14ac:dyDescent="0.3">
      <c r="B156" s="18" t="s">
        <v>136</v>
      </c>
      <c r="C156" s="160">
        <v>1</v>
      </c>
      <c r="D156" s="79"/>
      <c r="E156" s="171">
        <f>'COUTS - ANNEXES'!$K$15*C156</f>
        <v>600</v>
      </c>
      <c r="F156" s="172"/>
      <c r="G156" s="79"/>
      <c r="H156" s="171">
        <f>E156/$H$142</f>
        <v>10</v>
      </c>
      <c r="I156" s="172"/>
      <c r="K156" s="88"/>
      <c r="L156" s="18" t="s">
        <v>136</v>
      </c>
      <c r="N156" s="79"/>
      <c r="O156" s="171">
        <f>'COUTS - ANNEXES'!$K$15*M148</f>
        <v>600</v>
      </c>
      <c r="P156" s="172"/>
      <c r="Q156" s="79"/>
      <c r="R156" s="171">
        <f>O156/$R$142</f>
        <v>10</v>
      </c>
      <c r="S156" s="172"/>
    </row>
    <row r="157" spans="2:20" x14ac:dyDescent="0.3">
      <c r="B157" s="18" t="s">
        <v>138</v>
      </c>
      <c r="D157" s="79"/>
      <c r="E157" s="171">
        <f>'COUTS - ANNEXES'!$K$22</f>
        <v>600</v>
      </c>
      <c r="F157" s="172"/>
      <c r="G157" s="79"/>
      <c r="H157" s="171">
        <f>E157/$H$142</f>
        <v>10</v>
      </c>
      <c r="I157" s="172"/>
      <c r="K157" s="88"/>
      <c r="L157" s="18" t="s">
        <v>138</v>
      </c>
      <c r="N157" s="79"/>
      <c r="O157" s="171">
        <f>'COUTS - ANNEXES'!$K$22</f>
        <v>600</v>
      </c>
      <c r="P157" s="172"/>
      <c r="Q157" s="79"/>
      <c r="R157" s="171">
        <f>O157/$R$142</f>
        <v>10</v>
      </c>
      <c r="S157" s="172"/>
    </row>
    <row r="158" spans="2:20" x14ac:dyDescent="0.3">
      <c r="E158" s="234">
        <f>SUM(E155:F157)</f>
        <v>1800</v>
      </c>
      <c r="F158" s="235"/>
      <c r="H158" s="234">
        <f>SUM(H155:I157)</f>
        <v>30</v>
      </c>
      <c r="I158" s="235"/>
      <c r="K158" s="88"/>
      <c r="O158" s="234">
        <f>SUM(O155:P157)</f>
        <v>1800</v>
      </c>
      <c r="P158" s="235"/>
      <c r="R158" s="234">
        <f>SUM(R155:S157)</f>
        <v>30</v>
      </c>
      <c r="S158" s="235"/>
    </row>
    <row r="159" spans="2:20" ht="7.8" customHeight="1" x14ac:dyDescent="0.3">
      <c r="C159" s="32"/>
      <c r="K159" s="88"/>
      <c r="M159" s="32"/>
    </row>
    <row r="160" spans="2:20" x14ac:dyDescent="0.3">
      <c r="B160" s="233" t="s">
        <v>135</v>
      </c>
      <c r="C160" s="233"/>
      <c r="D160" s="233"/>
      <c r="E160" s="233"/>
      <c r="F160" s="233"/>
      <c r="G160" s="233"/>
      <c r="H160" s="233"/>
      <c r="I160" s="233"/>
      <c r="K160" s="88"/>
      <c r="L160" s="233" t="s">
        <v>135</v>
      </c>
      <c r="M160" s="233"/>
      <c r="N160" s="233"/>
      <c r="O160" s="233"/>
      <c r="P160" s="233"/>
      <c r="Q160" s="233"/>
      <c r="R160" s="233"/>
      <c r="S160" s="233"/>
    </row>
    <row r="161" spans="2:20" ht="4.8" customHeight="1" x14ac:dyDescent="0.3">
      <c r="C161" s="32"/>
      <c r="K161" s="88"/>
      <c r="M161" s="32"/>
    </row>
    <row r="162" spans="2:20" x14ac:dyDescent="0.3">
      <c r="B162" s="18" t="s">
        <v>157</v>
      </c>
      <c r="C162" s="14">
        <v>1</v>
      </c>
      <c r="D162" s="79"/>
      <c r="E162" s="171">
        <f>'COUTS - AGENCEMENT'!$O$8</f>
        <v>1000</v>
      </c>
      <c r="F162" s="172"/>
      <c r="G162" s="79"/>
      <c r="H162" s="171">
        <f>'COUTS - AGENCEMENT'!$P$8</f>
        <v>11.904761904761905</v>
      </c>
      <c r="I162" s="172"/>
      <c r="K162" s="88"/>
      <c r="L162" s="162"/>
      <c r="M162" s="163"/>
      <c r="N162" s="163"/>
      <c r="O162" s="163"/>
      <c r="P162" s="163"/>
      <c r="Q162" s="163"/>
      <c r="R162" s="163"/>
      <c r="T162" s="92"/>
    </row>
    <row r="163" spans="2:20" x14ac:dyDescent="0.3">
      <c r="B163" s="18" t="s">
        <v>158</v>
      </c>
      <c r="C163" s="14">
        <v>1</v>
      </c>
      <c r="D163" s="79"/>
      <c r="E163" s="171">
        <f>'COUTS - AGENCEMENT'!$Q$8</f>
        <v>1200</v>
      </c>
      <c r="F163" s="172"/>
      <c r="G163" s="79"/>
      <c r="H163" s="171">
        <f>'COUTS - AGENCEMENT'!$R$8</f>
        <v>14.285714285714286</v>
      </c>
      <c r="I163" s="172"/>
      <c r="K163" s="88"/>
      <c r="L163" s="162"/>
      <c r="M163" s="163"/>
      <c r="N163" s="163"/>
      <c r="O163" s="163"/>
      <c r="P163" s="163"/>
      <c r="Q163" s="163"/>
      <c r="R163" s="163"/>
      <c r="T163" s="92"/>
    </row>
    <row r="164" spans="2:20" x14ac:dyDescent="0.3">
      <c r="B164" s="18" t="s">
        <v>159</v>
      </c>
      <c r="C164" s="14">
        <v>1</v>
      </c>
      <c r="D164" s="79"/>
      <c r="E164" s="171">
        <f>'COUTS - AGENCEMENT'!$S$8</f>
        <v>2200</v>
      </c>
      <c r="F164" s="172"/>
      <c r="G164" s="79"/>
      <c r="H164" s="171">
        <f>'COUTS - AGENCEMENT'!$T$8</f>
        <v>26.19047619047619</v>
      </c>
      <c r="I164" s="172"/>
      <c r="K164" s="88"/>
      <c r="L164" s="162"/>
      <c r="M164" s="163"/>
      <c r="N164" s="163"/>
      <c r="O164" s="163"/>
      <c r="P164" s="163"/>
      <c r="Q164" s="163"/>
      <c r="R164" s="163"/>
      <c r="T164" s="92"/>
    </row>
    <row r="165" spans="2:20" ht="4.8" customHeight="1" x14ac:dyDescent="0.3">
      <c r="K165" s="88"/>
    </row>
    <row r="166" spans="2:20" x14ac:dyDescent="0.3">
      <c r="B166" s="18" t="s">
        <v>160</v>
      </c>
      <c r="C166" s="161">
        <f>F9</f>
        <v>8</v>
      </c>
      <c r="D166" s="79"/>
      <c r="E166" s="234">
        <f>E164*C166</f>
        <v>17600</v>
      </c>
      <c r="F166" s="235"/>
      <c r="H166" s="234">
        <f>H164*C166</f>
        <v>209.52380952380952</v>
      </c>
      <c r="I166" s="235"/>
      <c r="K166" s="88"/>
      <c r="L166" s="167" t="s">
        <v>161</v>
      </c>
      <c r="M166" s="148">
        <f>P9</f>
        <v>6</v>
      </c>
      <c r="N166" s="79"/>
      <c r="O166" s="234">
        <f>M166*E162</f>
        <v>6000</v>
      </c>
      <c r="P166" s="235"/>
      <c r="R166" s="234">
        <f>M166*H162</f>
        <v>71.428571428571431</v>
      </c>
      <c r="S166" s="235"/>
      <c r="T166" s="92"/>
    </row>
    <row r="167" spans="2:20" x14ac:dyDescent="0.3">
      <c r="C167" s="32"/>
      <c r="K167" s="88"/>
      <c r="M167" s="32"/>
    </row>
    <row r="168" spans="2:20" x14ac:dyDescent="0.3">
      <c r="C168" s="81" t="s">
        <v>27</v>
      </c>
      <c r="E168" s="238">
        <f>SUM(E151,E158,E166)</f>
        <v>43200</v>
      </c>
      <c r="F168" s="239"/>
      <c r="H168" s="238">
        <f>SUM(H151,H158,H166)</f>
        <v>586.19047619047615</v>
      </c>
      <c r="I168" s="239"/>
      <c r="K168" s="88"/>
      <c r="M168" s="81" t="s">
        <v>27</v>
      </c>
      <c r="O168" s="238">
        <f>SUM(O151,O158,O166)</f>
        <v>13100</v>
      </c>
      <c r="P168" s="239"/>
      <c r="R168" s="238">
        <f>SUM(R151,R158,R166)</f>
        <v>189.76190476190476</v>
      </c>
      <c r="S168" s="239"/>
      <c r="T168" s="136"/>
    </row>
    <row r="169" spans="2:20" ht="14.4" customHeight="1" x14ac:dyDescent="0.3">
      <c r="K169" s="88"/>
    </row>
    <row r="170" spans="2:20" ht="9" customHeight="1" x14ac:dyDescent="0.3">
      <c r="B170" s="103"/>
      <c r="C170" s="11"/>
      <c r="D170" s="11"/>
      <c r="E170" s="11"/>
      <c r="F170" s="11"/>
      <c r="G170" s="11"/>
      <c r="H170" s="11"/>
      <c r="I170" s="11"/>
      <c r="J170" s="11"/>
      <c r="K170" s="11"/>
      <c r="L170" s="103"/>
      <c r="M170" s="11"/>
      <c r="N170" s="11"/>
      <c r="O170" s="11"/>
      <c r="P170" s="11"/>
      <c r="Q170" s="11"/>
      <c r="R170" s="11"/>
      <c r="S170" s="11"/>
      <c r="T170" s="11"/>
    </row>
    <row r="171" spans="2:20" ht="29.4" customHeight="1" x14ac:dyDescent="0.3">
      <c r="B171" s="231" t="s">
        <v>162</v>
      </c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</row>
    <row r="172" spans="2:20" ht="7.8" customHeight="1" x14ac:dyDescent="0.3">
      <c r="K172" s="88"/>
    </row>
    <row r="173" spans="2:20" x14ac:dyDescent="0.3">
      <c r="B173" s="91" t="s">
        <v>165</v>
      </c>
      <c r="K173" s="88"/>
    </row>
    <row r="174" spans="2:20" ht="7.8" customHeight="1" x14ac:dyDescent="0.3">
      <c r="K174" s="88"/>
    </row>
    <row r="175" spans="2:20" x14ac:dyDescent="0.3">
      <c r="E175" s="187" t="s">
        <v>104</v>
      </c>
      <c r="F175" s="187"/>
      <c r="H175" s="2"/>
      <c r="K175" s="88"/>
      <c r="O175" s="187" t="s">
        <v>104</v>
      </c>
      <c r="P175" s="187"/>
      <c r="R175" s="2"/>
    </row>
    <row r="176" spans="2:20" x14ac:dyDescent="0.3">
      <c r="C176" s="82" t="s">
        <v>27</v>
      </c>
      <c r="E176" s="185">
        <f>E134-H168</f>
        <v>275.04029304029314</v>
      </c>
      <c r="F176" s="186"/>
      <c r="H176" s="2"/>
      <c r="K176" s="88"/>
      <c r="M176" s="82" t="s">
        <v>27</v>
      </c>
      <c r="O176" s="185">
        <f>O134-R168</f>
        <v>140.85018067572707</v>
      </c>
      <c r="P176" s="186"/>
      <c r="R176" s="137"/>
    </row>
    <row r="177" spans="2:20" x14ac:dyDescent="0.3">
      <c r="C177" s="144" t="s">
        <v>139</v>
      </c>
      <c r="E177" s="256">
        <f>IF(E176&lt;0,("N/A"),(E176/E122))</f>
        <v>0.18596368697788582</v>
      </c>
      <c r="F177" s="257"/>
      <c r="H177" s="2"/>
      <c r="K177" s="88"/>
      <c r="M177" s="144" t="s">
        <v>139</v>
      </c>
      <c r="O177" s="256">
        <f>IF(O176&lt;0,("N/A"),(O176/O122))</f>
        <v>0.23381943929314875</v>
      </c>
      <c r="P177" s="257"/>
      <c r="R177" s="137"/>
    </row>
    <row r="178" spans="2:20" ht="14.4" customHeight="1" x14ac:dyDescent="0.3">
      <c r="K178" s="88"/>
    </row>
    <row r="179" spans="2:20" ht="9" customHeight="1" x14ac:dyDescent="0.3">
      <c r="B179" s="103"/>
      <c r="C179" s="11"/>
      <c r="D179" s="11"/>
      <c r="E179" s="11"/>
      <c r="F179" s="11"/>
      <c r="G179" s="11"/>
      <c r="H179" s="11"/>
      <c r="I179" s="11"/>
      <c r="J179" s="11"/>
      <c r="K179" s="11"/>
      <c r="L179" s="103"/>
      <c r="M179" s="11"/>
      <c r="N179" s="11"/>
      <c r="O179" s="11"/>
      <c r="P179" s="11"/>
      <c r="Q179" s="11"/>
      <c r="R179" s="11"/>
      <c r="S179" s="11"/>
      <c r="T179" s="11"/>
    </row>
    <row r="180" spans="2:20" ht="29.4" customHeight="1" x14ac:dyDescent="0.3">
      <c r="B180" s="169" t="s">
        <v>163</v>
      </c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</row>
    <row r="181" spans="2:20" ht="7.8" customHeight="1" x14ac:dyDescent="0.3">
      <c r="K181" s="88"/>
    </row>
    <row r="182" spans="2:20" x14ac:dyDescent="0.3">
      <c r="B182" s="91" t="s">
        <v>164</v>
      </c>
      <c r="K182" s="88"/>
    </row>
    <row r="183" spans="2:20" ht="7.8" customHeight="1" x14ac:dyDescent="0.3">
      <c r="K183" s="88"/>
    </row>
    <row r="184" spans="2:20" x14ac:dyDescent="0.3">
      <c r="E184" s="236">
        <f>E168/E176</f>
        <v>157.06789547984971</v>
      </c>
      <c r="F184" s="237"/>
      <c r="H184" s="1" t="s">
        <v>43</v>
      </c>
      <c r="K184" s="88"/>
      <c r="O184" s="236">
        <f>O168/O176</f>
        <v>93.006625459427212</v>
      </c>
      <c r="P184" s="237"/>
      <c r="R184" s="1" t="s">
        <v>43</v>
      </c>
    </row>
    <row r="185" spans="2:20" x14ac:dyDescent="0.3">
      <c r="C185" s="121" t="s">
        <v>27</v>
      </c>
      <c r="E185" s="223">
        <f>E184/12</f>
        <v>13.088991289987476</v>
      </c>
      <c r="F185" s="224"/>
      <c r="H185" s="1" t="s">
        <v>120</v>
      </c>
      <c r="K185" s="88"/>
      <c r="M185" s="121" t="s">
        <v>27</v>
      </c>
      <c r="O185" s="223">
        <f>O184/12</f>
        <v>7.7505521216189344</v>
      </c>
      <c r="P185" s="224"/>
      <c r="R185" s="1" t="s">
        <v>120</v>
      </c>
    </row>
    <row r="186" spans="2:20" x14ac:dyDescent="0.3">
      <c r="F186" s="92"/>
      <c r="K186" s="88"/>
    </row>
    <row r="187" spans="2:20" ht="9" customHeight="1" x14ac:dyDescent="0.3">
      <c r="B187" s="103"/>
      <c r="C187" s="11"/>
      <c r="D187" s="11"/>
      <c r="E187" s="11"/>
      <c r="F187" s="11"/>
      <c r="G187" s="11"/>
      <c r="H187" s="11"/>
      <c r="I187" s="11"/>
      <c r="J187" s="11"/>
      <c r="K187" s="11"/>
      <c r="L187" s="103"/>
      <c r="M187" s="11"/>
      <c r="N187" s="11"/>
      <c r="O187" s="11"/>
      <c r="P187" s="11"/>
      <c r="Q187" s="11"/>
      <c r="R187" s="11"/>
      <c r="S187" s="11"/>
      <c r="T187" s="11"/>
    </row>
  </sheetData>
  <mergeCells count="195">
    <mergeCell ref="B7:C7"/>
    <mergeCell ref="E7:F7"/>
    <mergeCell ref="H7:J7"/>
    <mergeCell ref="L7:M7"/>
    <mergeCell ref="O7:P7"/>
    <mergeCell ref="R7:T7"/>
    <mergeCell ref="B4:T4"/>
    <mergeCell ref="B5:J5"/>
    <mergeCell ref="L5:T5"/>
    <mergeCell ref="C31:D31"/>
    <mergeCell ref="E33:F33"/>
    <mergeCell ref="H33:I33"/>
    <mergeCell ref="O33:P33"/>
    <mergeCell ref="R33:S33"/>
    <mergeCell ref="B24:T24"/>
    <mergeCell ref="B25:T25"/>
    <mergeCell ref="C28:J29"/>
    <mergeCell ref="B13:C13"/>
    <mergeCell ref="L13:M13"/>
    <mergeCell ref="B38:T38"/>
    <mergeCell ref="E35:F35"/>
    <mergeCell ref="H35:I35"/>
    <mergeCell ref="O35:P35"/>
    <mergeCell ref="R35:S35"/>
    <mergeCell ref="E34:F34"/>
    <mergeCell ref="H34:I34"/>
    <mergeCell ref="O34:P34"/>
    <mergeCell ref="R34:S34"/>
    <mergeCell ref="C46:C49"/>
    <mergeCell ref="O46:P46"/>
    <mergeCell ref="O47:P47"/>
    <mergeCell ref="O48:P48"/>
    <mergeCell ref="B39:T39"/>
    <mergeCell ref="C42:J44"/>
    <mergeCell ref="O42:P42"/>
    <mergeCell ref="O43:P43"/>
    <mergeCell ref="O44:P44"/>
    <mergeCell ref="B56:T56"/>
    <mergeCell ref="B55:T55"/>
    <mergeCell ref="E52:F52"/>
    <mergeCell ref="H52:I52"/>
    <mergeCell ref="O52:P52"/>
    <mergeCell ref="E51:F51"/>
    <mergeCell ref="H51:I51"/>
    <mergeCell ref="O51:P51"/>
    <mergeCell ref="E50:F50"/>
    <mergeCell ref="H50:I50"/>
    <mergeCell ref="O50:P50"/>
    <mergeCell ref="B99:T99"/>
    <mergeCell ref="L101:T106"/>
    <mergeCell ref="C102:J104"/>
    <mergeCell ref="C106:C110"/>
    <mergeCell ref="O108:P108"/>
    <mergeCell ref="O94:P94"/>
    <mergeCell ref="O95:P95"/>
    <mergeCell ref="B98:T98"/>
    <mergeCell ref="C75:G75"/>
    <mergeCell ref="L75:N75"/>
    <mergeCell ref="L81:T82"/>
    <mergeCell ref="L84:T91"/>
    <mergeCell ref="O93:P93"/>
    <mergeCell ref="B116:T116"/>
    <mergeCell ref="E113:F113"/>
    <mergeCell ref="H113:I113"/>
    <mergeCell ref="O113:P113"/>
    <mergeCell ref="E112:F112"/>
    <mergeCell ref="H112:I112"/>
    <mergeCell ref="O112:P112"/>
    <mergeCell ref="O109:P109"/>
    <mergeCell ref="E111:F111"/>
    <mergeCell ref="H111:I111"/>
    <mergeCell ref="O111:P111"/>
    <mergeCell ref="E120:F120"/>
    <mergeCell ref="H120:I120"/>
    <mergeCell ref="O120:P120"/>
    <mergeCell ref="R120:S120"/>
    <mergeCell ref="B117:E117"/>
    <mergeCell ref="L117:O117"/>
    <mergeCell ref="E119:F119"/>
    <mergeCell ref="H119:I119"/>
    <mergeCell ref="O119:P119"/>
    <mergeCell ref="R119:S119"/>
    <mergeCell ref="B125:T125"/>
    <mergeCell ref="E122:F122"/>
    <mergeCell ref="H122:I122"/>
    <mergeCell ref="O122:P122"/>
    <mergeCell ref="R122:S122"/>
    <mergeCell ref="E121:F121"/>
    <mergeCell ref="H121:I121"/>
    <mergeCell ref="O121:P121"/>
    <mergeCell ref="R121:S121"/>
    <mergeCell ref="E132:F132"/>
    <mergeCell ref="H132:I132"/>
    <mergeCell ref="O132:P132"/>
    <mergeCell ref="R132:S132"/>
    <mergeCell ref="E131:F131"/>
    <mergeCell ref="H131:I131"/>
    <mergeCell ref="O131:P131"/>
    <mergeCell ref="R131:S131"/>
    <mergeCell ref="E127:F127"/>
    <mergeCell ref="O127:P127"/>
    <mergeCell ref="E128:F128"/>
    <mergeCell ref="O128:P128"/>
    <mergeCell ref="E129:F129"/>
    <mergeCell ref="O129:P129"/>
    <mergeCell ref="B137:T137"/>
    <mergeCell ref="E134:F134"/>
    <mergeCell ref="H134:I134"/>
    <mergeCell ref="O134:P134"/>
    <mergeCell ref="R134:S134"/>
    <mergeCell ref="E133:F133"/>
    <mergeCell ref="H133:I133"/>
    <mergeCell ref="O133:P133"/>
    <mergeCell ref="R133:S133"/>
    <mergeCell ref="E142:F142"/>
    <mergeCell ref="O142:P142"/>
    <mergeCell ref="E144:F144"/>
    <mergeCell ref="H144:I144"/>
    <mergeCell ref="O144:P144"/>
    <mergeCell ref="R144:S144"/>
    <mergeCell ref="B139:I139"/>
    <mergeCell ref="L139:S139"/>
    <mergeCell ref="E141:F141"/>
    <mergeCell ref="H141:I141"/>
    <mergeCell ref="O141:P141"/>
    <mergeCell ref="R141:S141"/>
    <mergeCell ref="E149:F149"/>
    <mergeCell ref="H149:I149"/>
    <mergeCell ref="O149:P149"/>
    <mergeCell ref="R149:S149"/>
    <mergeCell ref="E148:F148"/>
    <mergeCell ref="H148:I148"/>
    <mergeCell ref="O148:P148"/>
    <mergeCell ref="R148:S148"/>
    <mergeCell ref="B145:I145"/>
    <mergeCell ref="L145:S145"/>
    <mergeCell ref="E147:F147"/>
    <mergeCell ref="H147:I147"/>
    <mergeCell ref="O147:P147"/>
    <mergeCell ref="R147:S147"/>
    <mergeCell ref="B153:I153"/>
    <mergeCell ref="L153:S153"/>
    <mergeCell ref="E151:F151"/>
    <mergeCell ref="H151:I151"/>
    <mergeCell ref="O151:P151"/>
    <mergeCell ref="R151:S151"/>
    <mergeCell ref="E150:F150"/>
    <mergeCell ref="H150:I150"/>
    <mergeCell ref="O150:P150"/>
    <mergeCell ref="R150:S150"/>
    <mergeCell ref="E157:F157"/>
    <mergeCell ref="H157:I157"/>
    <mergeCell ref="O157:P157"/>
    <mergeCell ref="R157:S157"/>
    <mergeCell ref="E156:F156"/>
    <mergeCell ref="H156:I156"/>
    <mergeCell ref="O156:P156"/>
    <mergeCell ref="R156:S156"/>
    <mergeCell ref="E155:F155"/>
    <mergeCell ref="H155:I155"/>
    <mergeCell ref="O155:P155"/>
    <mergeCell ref="R155:S155"/>
    <mergeCell ref="H162:I162"/>
    <mergeCell ref="B160:I160"/>
    <mergeCell ref="L160:S160"/>
    <mergeCell ref="E158:F158"/>
    <mergeCell ref="H158:I158"/>
    <mergeCell ref="O158:P158"/>
    <mergeCell ref="R158:S158"/>
    <mergeCell ref="E163:F163"/>
    <mergeCell ref="H163:I163"/>
    <mergeCell ref="C58:T60"/>
    <mergeCell ref="E184:F184"/>
    <mergeCell ref="O184:P184"/>
    <mergeCell ref="E185:F185"/>
    <mergeCell ref="O185:P185"/>
    <mergeCell ref="E177:F177"/>
    <mergeCell ref="O177:P177"/>
    <mergeCell ref="B180:T180"/>
    <mergeCell ref="E175:F175"/>
    <mergeCell ref="O175:P175"/>
    <mergeCell ref="E176:F176"/>
    <mergeCell ref="O176:P176"/>
    <mergeCell ref="B171:T171"/>
    <mergeCell ref="E168:F168"/>
    <mergeCell ref="H168:I168"/>
    <mergeCell ref="O168:P168"/>
    <mergeCell ref="R168:S168"/>
    <mergeCell ref="E166:F166"/>
    <mergeCell ref="H166:I166"/>
    <mergeCell ref="O166:P166"/>
    <mergeCell ref="R166:S166"/>
    <mergeCell ref="E164:F164"/>
    <mergeCell ref="H164:I164"/>
    <mergeCell ref="E162:F162"/>
  </mergeCells>
  <conditionalFormatting sqref="O42:O43">
    <cfRule type="cellIs" dxfId="13" priority="6" operator="greaterThan">
      <formula>0</formula>
    </cfRule>
  </conditionalFormatting>
  <conditionalFormatting sqref="O42:O44">
    <cfRule type="cellIs" dxfId="12" priority="5" operator="lessThan">
      <formula>0</formula>
    </cfRule>
  </conditionalFormatting>
  <conditionalFormatting sqref="O44">
    <cfRule type="cellIs" dxfId="11" priority="7" stopIfTrue="1" operator="greaterThan">
      <formula>0</formula>
    </cfRule>
  </conditionalFormatting>
  <conditionalFormatting sqref="O46:O48">
    <cfRule type="cellIs" dxfId="10" priority="3" operator="lessThan">
      <formula>0</formula>
    </cfRule>
    <cfRule type="cellIs" dxfId="9" priority="4" operator="greaterThan">
      <formula>0</formula>
    </cfRule>
  </conditionalFormatting>
  <conditionalFormatting sqref="O108">
    <cfRule type="cellIs" dxfId="8" priority="1" operator="lessThan">
      <formula>0</formula>
    </cfRule>
    <cfRule type="cellIs" dxfId="7" priority="2" operator="greater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EEF6-7DFD-4A84-93B2-16B54A27B010}">
  <sheetPr>
    <tabColor theme="1"/>
  </sheetPr>
  <dimension ref="B1:V187"/>
  <sheetViews>
    <sheetView showGridLines="0" zoomScale="90" zoomScaleNormal="90" workbookViewId="0">
      <pane ySplit="5" topLeftCell="A6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1" customWidth="1"/>
    <col min="2" max="2" width="10.33203125" style="32" customWidth="1"/>
    <col min="3" max="3" width="10.33203125" style="1" customWidth="1"/>
    <col min="4" max="4" width="1.6640625" style="1" customWidth="1"/>
    <col min="5" max="5" width="6.77734375" style="1" customWidth="1"/>
    <col min="6" max="6" width="10.33203125" style="1" customWidth="1"/>
    <col min="7" max="7" width="1.6640625" style="1" customWidth="1"/>
    <col min="8" max="8" width="6.77734375" style="1" customWidth="1"/>
    <col min="9" max="10" width="10.33203125" style="1" customWidth="1"/>
    <col min="11" max="11" width="1.5546875" style="1" customWidth="1"/>
    <col min="12" max="12" width="10.33203125" style="32" customWidth="1"/>
    <col min="13" max="13" width="10.33203125" style="1" customWidth="1"/>
    <col min="14" max="14" width="1.6640625" style="1" customWidth="1"/>
    <col min="15" max="15" width="6.77734375" style="1" customWidth="1"/>
    <col min="16" max="16" width="10.33203125" style="1" customWidth="1"/>
    <col min="17" max="17" width="1.6640625" style="1" customWidth="1"/>
    <col min="18" max="18" width="6.77734375" style="1" customWidth="1"/>
    <col min="19" max="20" width="10.33203125" style="1" customWidth="1"/>
    <col min="21" max="21" width="4.109375" style="1" customWidth="1"/>
    <col min="22" max="22" width="8.6640625" style="1" customWidth="1"/>
    <col min="23" max="16384" width="11.44140625" style="1"/>
  </cols>
  <sheetData>
    <row r="1" spans="2:22" ht="8.5500000000000007" customHeight="1" x14ac:dyDescent="0.3"/>
    <row r="2" spans="2:22" ht="37.950000000000003" customHeight="1" x14ac:dyDescent="0.3">
      <c r="B2" s="13" t="s">
        <v>140</v>
      </c>
      <c r="C2" s="12"/>
      <c r="D2" s="11"/>
      <c r="E2" s="10"/>
      <c r="F2" s="10"/>
      <c r="G2" s="11"/>
      <c r="H2" s="10"/>
      <c r="I2" s="10"/>
      <c r="J2" s="10"/>
      <c r="K2" s="13"/>
      <c r="L2" s="13"/>
      <c r="M2" s="12"/>
      <c r="N2" s="11"/>
      <c r="O2" s="10"/>
      <c r="P2" s="10"/>
      <c r="Q2" s="11"/>
      <c r="R2" s="10"/>
      <c r="S2" s="10"/>
      <c r="T2" s="10"/>
    </row>
    <row r="3" spans="2:22" ht="9" customHeight="1" x14ac:dyDescent="0.3"/>
    <row r="4" spans="2:22" ht="28.2" customHeight="1" x14ac:dyDescent="0.3">
      <c r="B4" s="240" t="s">
        <v>18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</row>
    <row r="5" spans="2:22" ht="25.8" customHeight="1" x14ac:dyDescent="0.3">
      <c r="B5" s="243" t="s">
        <v>131</v>
      </c>
      <c r="C5" s="243"/>
      <c r="D5" s="243"/>
      <c r="E5" s="243"/>
      <c r="F5" s="243"/>
      <c r="G5" s="243"/>
      <c r="H5" s="243"/>
      <c r="I5" s="243"/>
      <c r="J5" s="243"/>
      <c r="K5" s="88"/>
      <c r="L5" s="243" t="s">
        <v>132</v>
      </c>
      <c r="M5" s="243"/>
      <c r="N5" s="243"/>
      <c r="O5" s="243"/>
      <c r="P5" s="243"/>
      <c r="Q5" s="243"/>
      <c r="R5" s="243"/>
      <c r="S5" s="243"/>
      <c r="T5" s="243"/>
    </row>
    <row r="6" spans="2:22" ht="9" customHeight="1" x14ac:dyDescent="0.3">
      <c r="K6" s="88"/>
    </row>
    <row r="7" spans="2:22" x14ac:dyDescent="0.3">
      <c r="B7" s="196" t="s">
        <v>105</v>
      </c>
      <c r="C7" s="196"/>
      <c r="E7" s="196" t="s">
        <v>21</v>
      </c>
      <c r="F7" s="196"/>
      <c r="H7" s="196" t="s">
        <v>142</v>
      </c>
      <c r="I7" s="196"/>
      <c r="J7" s="196"/>
      <c r="K7" s="88"/>
      <c r="L7" s="196" t="s">
        <v>105</v>
      </c>
      <c r="M7" s="196"/>
      <c r="O7" s="196" t="s">
        <v>21</v>
      </c>
      <c r="P7" s="196"/>
      <c r="R7" s="196" t="s">
        <v>142</v>
      </c>
      <c r="S7" s="196"/>
      <c r="T7" s="196"/>
    </row>
    <row r="8" spans="2:22" x14ac:dyDescent="0.3">
      <c r="I8" s="4"/>
      <c r="J8" s="4" t="s">
        <v>22</v>
      </c>
      <c r="K8" s="88"/>
      <c r="S8" s="4"/>
      <c r="T8" s="4" t="s">
        <v>22</v>
      </c>
    </row>
    <row r="9" spans="2:22" x14ac:dyDescent="0.3">
      <c r="B9" s="1" t="s">
        <v>106</v>
      </c>
      <c r="C9" s="138">
        <v>305</v>
      </c>
      <c r="E9" s="1" t="s">
        <v>23</v>
      </c>
      <c r="F9" s="138">
        <v>7</v>
      </c>
      <c r="H9" s="15" t="s">
        <v>0</v>
      </c>
      <c r="I9" s="140">
        <v>0.8</v>
      </c>
      <c r="J9" s="155">
        <v>2.6</v>
      </c>
      <c r="K9" s="88"/>
      <c r="L9" s="1" t="s">
        <v>106</v>
      </c>
      <c r="M9" s="83">
        <v>95</v>
      </c>
      <c r="O9" s="1" t="s">
        <v>23</v>
      </c>
      <c r="P9" s="83">
        <v>2</v>
      </c>
      <c r="R9" s="15" t="s">
        <v>0</v>
      </c>
      <c r="S9" s="84">
        <v>0.9</v>
      </c>
      <c r="T9" s="89">
        <v>2.6</v>
      </c>
      <c r="V9" s="89">
        <v>2.6</v>
      </c>
    </row>
    <row r="10" spans="2:22" x14ac:dyDescent="0.3">
      <c r="B10" s="1" t="s">
        <v>107</v>
      </c>
      <c r="C10" s="139">
        <v>1.8</v>
      </c>
      <c r="E10" s="1" t="s">
        <v>177</v>
      </c>
      <c r="F10" s="138">
        <v>3</v>
      </c>
      <c r="H10" s="15" t="s">
        <v>26</v>
      </c>
      <c r="I10" s="140">
        <v>0.2</v>
      </c>
      <c r="J10" s="155">
        <v>1.8</v>
      </c>
      <c r="K10" s="88"/>
      <c r="L10" s="1" t="s">
        <v>170</v>
      </c>
      <c r="M10" s="85">
        <v>1.5</v>
      </c>
      <c r="O10" s="1" t="s">
        <v>178</v>
      </c>
      <c r="P10" s="83">
        <v>1</v>
      </c>
      <c r="R10" s="15" t="s">
        <v>26</v>
      </c>
      <c r="S10" s="84">
        <v>0.1</v>
      </c>
      <c r="T10" s="89">
        <v>1.45</v>
      </c>
      <c r="V10" s="89">
        <v>1.45</v>
      </c>
    </row>
    <row r="11" spans="2:22" x14ac:dyDescent="0.3">
      <c r="B11" s="1" t="s">
        <v>141</v>
      </c>
      <c r="C11" s="140">
        <v>0.75</v>
      </c>
      <c r="H11" s="1" t="s">
        <v>82</v>
      </c>
      <c r="I11" s="4"/>
      <c r="J11" s="93">
        <f>SUMPRODUCT(J9:J10,I9:I10)/SUM(I9:I10)</f>
        <v>2.44</v>
      </c>
      <c r="K11" s="88"/>
      <c r="L11" s="1" t="s">
        <v>141</v>
      </c>
      <c r="M11" s="84">
        <v>0.7</v>
      </c>
      <c r="O11" s="1" t="s">
        <v>179</v>
      </c>
      <c r="P11" s="83">
        <v>0</v>
      </c>
      <c r="R11" s="1" t="s">
        <v>82</v>
      </c>
      <c r="S11" s="4"/>
      <c r="T11" s="100">
        <f>SUMPRODUCT(T9:T10,S9:S10)/SUM(S9:S10)</f>
        <v>2.4850000000000003</v>
      </c>
    </row>
    <row r="12" spans="2:22" x14ac:dyDescent="0.3">
      <c r="K12" s="88"/>
    </row>
    <row r="13" spans="2:22" x14ac:dyDescent="0.3">
      <c r="B13" s="196" t="s">
        <v>36</v>
      </c>
      <c r="C13" s="196"/>
      <c r="K13" s="88"/>
      <c r="L13" s="196" t="s">
        <v>36</v>
      </c>
      <c r="M13" s="196"/>
    </row>
    <row r="14" spans="2:22" ht="9" customHeight="1" x14ac:dyDescent="0.3">
      <c r="K14" s="88"/>
    </row>
    <row r="15" spans="2:22" x14ac:dyDescent="0.3">
      <c r="B15" s="1" t="s">
        <v>109</v>
      </c>
      <c r="C15" s="86">
        <f>C9*C11</f>
        <v>228.75</v>
      </c>
      <c r="D15" s="1" t="s">
        <v>108</v>
      </c>
      <c r="K15" s="88"/>
      <c r="L15" s="1" t="s">
        <v>109</v>
      </c>
      <c r="M15" s="86">
        <f>M9*M11</f>
        <v>66.5</v>
      </c>
      <c r="N15" s="1" t="s">
        <v>108</v>
      </c>
    </row>
    <row r="16" spans="2:22" x14ac:dyDescent="0.3">
      <c r="B16" s="1" t="s">
        <v>69</v>
      </c>
      <c r="C16" s="86">
        <f>(C10*C9)*C11</f>
        <v>411.75</v>
      </c>
      <c r="D16" s="1" t="s">
        <v>72</v>
      </c>
      <c r="K16" s="88"/>
      <c r="L16" s="1" t="s">
        <v>69</v>
      </c>
      <c r="M16" s="86">
        <f>(M10*M9)*M11</f>
        <v>99.75</v>
      </c>
      <c r="N16" s="1" t="s">
        <v>72</v>
      </c>
    </row>
    <row r="17" spans="2:20" x14ac:dyDescent="0.3">
      <c r="B17" s="1" t="s">
        <v>69</v>
      </c>
      <c r="C17" s="86">
        <f>C16*30.5</f>
        <v>12558.375</v>
      </c>
      <c r="D17" s="1" t="s">
        <v>73</v>
      </c>
      <c r="K17" s="88"/>
      <c r="L17" s="1" t="s">
        <v>69</v>
      </c>
      <c r="M17" s="86">
        <f>M16*30.5</f>
        <v>3042.375</v>
      </c>
      <c r="N17" s="1" t="s">
        <v>73</v>
      </c>
    </row>
    <row r="18" spans="2:20" x14ac:dyDescent="0.3">
      <c r="B18" s="1"/>
      <c r="C18" s="87"/>
      <c r="K18" s="88"/>
      <c r="L18" s="1"/>
      <c r="M18" s="106"/>
    </row>
    <row r="19" spans="2:20" x14ac:dyDescent="0.3">
      <c r="B19" s="1" t="s">
        <v>71</v>
      </c>
      <c r="C19" s="149">
        <v>534</v>
      </c>
      <c r="D19" s="1" t="s">
        <v>74</v>
      </c>
      <c r="K19" s="88"/>
      <c r="L19" s="1" t="s">
        <v>71</v>
      </c>
      <c r="M19" s="150">
        <f>M17*$C$21</f>
        <v>129.36612021857925</v>
      </c>
      <c r="N19" s="1" t="s">
        <v>143</v>
      </c>
    </row>
    <row r="20" spans="2:20" ht="7.8" customHeight="1" thickBot="1" x14ac:dyDescent="0.35">
      <c r="B20" s="1"/>
      <c r="C20" s="151"/>
      <c r="K20" s="88"/>
      <c r="L20" s="1"/>
      <c r="M20" s="152"/>
    </row>
    <row r="21" spans="2:20" ht="15" thickBot="1" x14ac:dyDescent="0.35">
      <c r="B21" s="1"/>
      <c r="C21" s="166">
        <f>C19/C17</f>
        <v>4.2521424945504496E-2</v>
      </c>
      <c r="D21" s="91" t="s">
        <v>92</v>
      </c>
      <c r="K21" s="88"/>
      <c r="L21" s="1"/>
      <c r="M21" s="107"/>
    </row>
    <row r="22" spans="2:20" ht="14.4" customHeight="1" x14ac:dyDescent="0.3">
      <c r="K22" s="88"/>
    </row>
    <row r="23" spans="2:20" ht="9" customHeight="1" x14ac:dyDescent="0.3">
      <c r="B23" s="103"/>
      <c r="C23" s="11"/>
      <c r="D23" s="11"/>
      <c r="E23" s="11"/>
      <c r="F23" s="11"/>
      <c r="G23" s="11"/>
      <c r="H23" s="11"/>
      <c r="I23" s="11"/>
      <c r="J23" s="11"/>
      <c r="K23" s="11"/>
      <c r="L23" s="103"/>
      <c r="M23" s="11"/>
      <c r="N23" s="11"/>
      <c r="O23" s="11"/>
      <c r="P23" s="11"/>
      <c r="Q23" s="11"/>
      <c r="R23" s="11"/>
      <c r="S23" s="11"/>
      <c r="T23" s="11"/>
    </row>
    <row r="24" spans="2:20" ht="29.4" customHeight="1" x14ac:dyDescent="0.3">
      <c r="B24" s="231" t="s">
        <v>144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</row>
    <row r="25" spans="2:20" ht="29.4" customHeight="1" x14ac:dyDescent="0.3">
      <c r="B25" s="252" t="s">
        <v>93</v>
      </c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</row>
    <row r="26" spans="2:20" ht="7.8" customHeight="1" x14ac:dyDescent="0.3">
      <c r="K26" s="88"/>
    </row>
    <row r="27" spans="2:20" x14ac:dyDescent="0.3">
      <c r="B27" s="91" t="s">
        <v>80</v>
      </c>
      <c r="C27" s="91" t="s">
        <v>110</v>
      </c>
      <c r="K27" s="88"/>
      <c r="L27" s="98"/>
    </row>
    <row r="28" spans="2:20" ht="14.4" customHeight="1" x14ac:dyDescent="0.3">
      <c r="B28" s="91"/>
      <c r="C28" s="193" t="s">
        <v>96</v>
      </c>
      <c r="D28" s="258"/>
      <c r="E28" s="258"/>
      <c r="F28" s="258"/>
      <c r="G28" s="258"/>
      <c r="H28" s="258"/>
      <c r="I28" s="258"/>
      <c r="J28" s="259"/>
      <c r="K28" s="88"/>
      <c r="L28" s="99"/>
    </row>
    <row r="29" spans="2:20" x14ac:dyDescent="0.3">
      <c r="B29" s="91"/>
      <c r="C29" s="258"/>
      <c r="D29" s="258"/>
      <c r="E29" s="258"/>
      <c r="F29" s="258"/>
      <c r="G29" s="258"/>
      <c r="H29" s="258"/>
      <c r="I29" s="258"/>
      <c r="J29" s="259"/>
      <c r="K29" s="88"/>
      <c r="L29" s="99"/>
    </row>
    <row r="30" spans="2:20" ht="14.4" customHeight="1" thickBot="1" x14ac:dyDescent="0.35">
      <c r="B30" s="91"/>
      <c r="C30" s="141"/>
      <c r="D30" s="141"/>
      <c r="E30" s="141"/>
      <c r="F30" s="141"/>
      <c r="G30" s="141"/>
      <c r="H30" s="141"/>
      <c r="I30" s="141"/>
      <c r="J30" s="142"/>
      <c r="K30" s="88"/>
      <c r="L30" s="99"/>
    </row>
    <row r="31" spans="2:20" ht="15" thickBot="1" x14ac:dyDescent="0.35">
      <c r="C31" s="197">
        <f>C17*$C$21</f>
        <v>534</v>
      </c>
      <c r="D31" s="198"/>
      <c r="E31" s="104" t="s">
        <v>94</v>
      </c>
      <c r="F31" s="8"/>
      <c r="G31" s="8"/>
      <c r="K31" s="88"/>
      <c r="L31" s="99"/>
      <c r="M31" s="165">
        <f>M17*$C$21</f>
        <v>129.36612021857925</v>
      </c>
      <c r="N31" s="105" t="s">
        <v>94</v>
      </c>
    </row>
    <row r="32" spans="2:20" ht="9" customHeight="1" x14ac:dyDescent="0.3">
      <c r="K32" s="88"/>
    </row>
    <row r="33" spans="2:20" ht="15" thickBot="1" x14ac:dyDescent="0.35">
      <c r="E33" s="195" t="s">
        <v>24</v>
      </c>
      <c r="F33" s="195"/>
      <c r="G33" s="8"/>
      <c r="H33" s="195" t="s">
        <v>25</v>
      </c>
      <c r="I33" s="195"/>
      <c r="K33" s="88"/>
      <c r="O33" s="187" t="s">
        <v>24</v>
      </c>
      <c r="P33" s="187"/>
      <c r="R33" s="187"/>
      <c r="S33" s="187"/>
    </row>
    <row r="34" spans="2:20" x14ac:dyDescent="0.3">
      <c r="C34" s="110" t="s">
        <v>0</v>
      </c>
      <c r="D34" s="97"/>
      <c r="E34" s="200">
        <v>3503</v>
      </c>
      <c r="F34" s="200"/>
      <c r="G34" s="97"/>
      <c r="H34" s="200">
        <v>3696</v>
      </c>
      <c r="I34" s="201"/>
      <c r="J34" s="90"/>
      <c r="K34" s="88"/>
      <c r="M34" s="82" t="s">
        <v>0</v>
      </c>
      <c r="O34" s="185">
        <f>($M$31*E34)/$C$31</f>
        <v>848.6320582877961</v>
      </c>
      <c r="P34" s="186"/>
      <c r="R34" s="187"/>
      <c r="S34" s="187"/>
      <c r="T34" s="90"/>
    </row>
    <row r="35" spans="2:20" ht="15" thickBot="1" x14ac:dyDescent="0.35">
      <c r="C35" s="109" t="s">
        <v>26</v>
      </c>
      <c r="D35" s="111"/>
      <c r="E35" s="199">
        <v>131</v>
      </c>
      <c r="F35" s="199"/>
      <c r="G35" s="111"/>
      <c r="H35" s="199">
        <v>138</v>
      </c>
      <c r="I35" s="202"/>
      <c r="J35" s="90"/>
      <c r="K35" s="88"/>
      <c r="M35" s="82" t="s">
        <v>26</v>
      </c>
      <c r="N35" s="32"/>
      <c r="O35" s="185">
        <f>($M$31*E35)/$C$31</f>
        <v>31.735883424408019</v>
      </c>
      <c r="P35" s="186"/>
      <c r="R35" s="187"/>
      <c r="S35" s="187"/>
      <c r="T35" s="90"/>
    </row>
    <row r="36" spans="2:20" ht="14.4" customHeight="1" x14ac:dyDescent="0.3">
      <c r="K36" s="88"/>
    </row>
    <row r="37" spans="2:20" ht="9" customHeight="1" x14ac:dyDescent="0.3">
      <c r="B37" s="103"/>
      <c r="C37" s="11"/>
      <c r="D37" s="11"/>
      <c r="E37" s="11"/>
      <c r="F37" s="11"/>
      <c r="G37" s="11"/>
      <c r="H37" s="11"/>
      <c r="I37" s="11"/>
      <c r="J37" s="11"/>
      <c r="K37" s="11"/>
      <c r="L37" s="103"/>
      <c r="M37" s="11"/>
      <c r="N37" s="11"/>
      <c r="O37" s="11"/>
      <c r="P37" s="11"/>
      <c r="Q37" s="11"/>
      <c r="R37" s="11"/>
      <c r="S37" s="11"/>
      <c r="T37" s="11"/>
    </row>
    <row r="38" spans="2:20" ht="29.4" customHeight="1" x14ac:dyDescent="0.3">
      <c r="B38" s="231" t="s">
        <v>145</v>
      </c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</row>
    <row r="39" spans="2:20" ht="29.4" customHeight="1" x14ac:dyDescent="0.3">
      <c r="B39" s="252" t="s">
        <v>113</v>
      </c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3"/>
      <c r="S39" s="253"/>
      <c r="T39" s="253"/>
    </row>
    <row r="40" spans="2:20" ht="7.8" customHeight="1" x14ac:dyDescent="0.3">
      <c r="K40" s="88"/>
    </row>
    <row r="41" spans="2:20" x14ac:dyDescent="0.3">
      <c r="B41" s="91" t="s">
        <v>81</v>
      </c>
      <c r="C41" s="91" t="s">
        <v>112</v>
      </c>
      <c r="K41" s="88"/>
      <c r="L41" s="98"/>
    </row>
    <row r="42" spans="2:20" ht="14.4" customHeight="1" x14ac:dyDescent="0.3">
      <c r="B42" s="91"/>
      <c r="C42" s="193" t="s">
        <v>111</v>
      </c>
      <c r="D42" s="193"/>
      <c r="E42" s="193"/>
      <c r="F42" s="193"/>
      <c r="G42" s="193"/>
      <c r="H42" s="193"/>
      <c r="I42" s="193"/>
      <c r="J42" s="194"/>
      <c r="K42" s="88"/>
      <c r="L42" s="98"/>
      <c r="M42" s="1" t="s">
        <v>84</v>
      </c>
      <c r="O42" s="207">
        <f>S9-I9</f>
        <v>9.9999999999999978E-2</v>
      </c>
      <c r="P42" s="208"/>
    </row>
    <row r="43" spans="2:20" x14ac:dyDescent="0.3">
      <c r="B43" s="91"/>
      <c r="C43" s="193"/>
      <c r="D43" s="193"/>
      <c r="E43" s="193"/>
      <c r="F43" s="193"/>
      <c r="G43" s="193"/>
      <c r="H43" s="193"/>
      <c r="I43" s="193"/>
      <c r="J43" s="194"/>
      <c r="K43" s="88"/>
      <c r="L43" s="98"/>
      <c r="M43" s="1" t="s">
        <v>114</v>
      </c>
      <c r="O43" s="205">
        <f>O42*10</f>
        <v>0.99999999999999978</v>
      </c>
      <c r="P43" s="206"/>
    </row>
    <row r="44" spans="2:20" ht="14.4" customHeight="1" x14ac:dyDescent="0.3">
      <c r="B44" s="91"/>
      <c r="C44" s="193"/>
      <c r="D44" s="193"/>
      <c r="E44" s="193"/>
      <c r="F44" s="193"/>
      <c r="G44" s="193"/>
      <c r="H44" s="193"/>
      <c r="I44" s="193"/>
      <c r="J44" s="194"/>
      <c r="K44" s="88"/>
      <c r="L44" s="99"/>
      <c r="M44" s="1" t="s">
        <v>89</v>
      </c>
      <c r="O44" s="203">
        <f>(E51*O43)</f>
        <v>437.87499999999989</v>
      </c>
      <c r="P44" s="204"/>
      <c r="Q44" s="17"/>
    </row>
    <row r="45" spans="2:20" ht="9" customHeight="1" x14ac:dyDescent="0.3">
      <c r="K45" s="88"/>
      <c r="Q45" s="17"/>
    </row>
    <row r="46" spans="2:20" ht="14.4" customHeight="1" x14ac:dyDescent="0.3">
      <c r="C46" s="184" t="s">
        <v>87</v>
      </c>
      <c r="K46" s="88"/>
      <c r="M46" s="1" t="s">
        <v>91</v>
      </c>
      <c r="O46" s="207">
        <f>S10-I10</f>
        <v>-0.1</v>
      </c>
      <c r="P46" s="208"/>
      <c r="Q46" s="17"/>
      <c r="R46" s="17"/>
      <c r="S46" s="17"/>
      <c r="T46" s="17"/>
    </row>
    <row r="47" spans="2:20" ht="14.4" customHeight="1" x14ac:dyDescent="0.3">
      <c r="C47" s="184"/>
      <c r="J47" s="92"/>
      <c r="K47" s="88"/>
      <c r="M47" s="1" t="s">
        <v>114</v>
      </c>
      <c r="O47" s="205">
        <f>O46*10</f>
        <v>-1</v>
      </c>
      <c r="P47" s="206"/>
      <c r="Q47" s="17"/>
      <c r="R47" s="17"/>
      <c r="S47" s="17"/>
      <c r="T47" s="17"/>
    </row>
    <row r="48" spans="2:20" ht="14.4" customHeight="1" x14ac:dyDescent="0.3">
      <c r="C48" s="184"/>
      <c r="F48" s="92"/>
      <c r="J48" s="92"/>
      <c r="K48" s="88"/>
      <c r="M48" s="1" t="s">
        <v>90</v>
      </c>
      <c r="O48" s="203">
        <f>(E52*O47)</f>
        <v>-65.5</v>
      </c>
      <c r="P48" s="204"/>
      <c r="Q48" s="17"/>
      <c r="R48" s="17"/>
      <c r="S48" s="17"/>
      <c r="T48" s="17"/>
    </row>
    <row r="49" spans="2:20" ht="9" customHeight="1" x14ac:dyDescent="0.3">
      <c r="C49" s="184"/>
      <c r="J49" s="92"/>
      <c r="K49" s="88"/>
      <c r="M49" s="15"/>
      <c r="O49" s="145"/>
      <c r="P49" s="145"/>
      <c r="Q49" s="17"/>
      <c r="R49" s="17"/>
      <c r="S49" s="17"/>
      <c r="T49" s="17"/>
    </row>
    <row r="50" spans="2:20" x14ac:dyDescent="0.3">
      <c r="E50" s="187" t="s">
        <v>24</v>
      </c>
      <c r="F50" s="187"/>
      <c r="H50" s="187" t="s">
        <v>25</v>
      </c>
      <c r="I50" s="187"/>
      <c r="K50" s="88"/>
      <c r="O50" s="187" t="s">
        <v>24</v>
      </c>
      <c r="P50" s="187"/>
      <c r="Q50" s="17"/>
      <c r="R50" s="17"/>
      <c r="S50" s="17"/>
      <c r="T50" s="17"/>
    </row>
    <row r="51" spans="2:20" x14ac:dyDescent="0.3">
      <c r="C51" s="82" t="s">
        <v>0</v>
      </c>
      <c r="E51" s="185">
        <f>(E34*10%)/$I$9</f>
        <v>437.875</v>
      </c>
      <c r="F51" s="186"/>
      <c r="H51" s="185">
        <f>(H34*10%)/$I$9</f>
        <v>462</v>
      </c>
      <c r="I51" s="186"/>
      <c r="K51" s="88"/>
      <c r="M51" s="82" t="s">
        <v>0</v>
      </c>
      <c r="N51" s="2"/>
      <c r="O51" s="185">
        <f>O34+O44</f>
        <v>1286.5070582877961</v>
      </c>
      <c r="P51" s="186"/>
      <c r="Q51" s="17"/>
      <c r="R51" s="17"/>
      <c r="S51" s="17"/>
      <c r="T51" s="17"/>
    </row>
    <row r="52" spans="2:20" x14ac:dyDescent="0.3">
      <c r="C52" s="82" t="s">
        <v>26</v>
      </c>
      <c r="D52" s="32"/>
      <c r="E52" s="185">
        <f>(E35*10%)/$I$10</f>
        <v>65.5</v>
      </c>
      <c r="F52" s="186"/>
      <c r="G52" s="32"/>
      <c r="H52" s="185">
        <f>(H35*10%)/$I$10</f>
        <v>69</v>
      </c>
      <c r="I52" s="186"/>
      <c r="K52" s="88"/>
      <c r="M52" s="82" t="s">
        <v>26</v>
      </c>
      <c r="N52" s="2"/>
      <c r="O52" s="185">
        <f>O35+O48</f>
        <v>-33.764116575591984</v>
      </c>
      <c r="P52" s="186"/>
      <c r="Q52" s="17"/>
      <c r="R52" s="17"/>
      <c r="S52" s="17"/>
      <c r="T52" s="17"/>
    </row>
    <row r="53" spans="2:20" ht="14.4" customHeight="1" x14ac:dyDescent="0.3">
      <c r="K53" s="88"/>
    </row>
    <row r="54" spans="2:20" ht="9" customHeight="1" x14ac:dyDescent="0.3">
      <c r="B54" s="103"/>
      <c r="C54" s="11"/>
      <c r="D54" s="11"/>
      <c r="E54" s="11"/>
      <c r="F54" s="11"/>
      <c r="G54" s="11"/>
      <c r="H54" s="11"/>
      <c r="I54" s="11"/>
      <c r="J54" s="11"/>
      <c r="K54" s="11"/>
      <c r="L54" s="103"/>
      <c r="M54" s="11"/>
      <c r="N54" s="11"/>
      <c r="O54" s="11"/>
      <c r="P54" s="11"/>
      <c r="Q54" s="11"/>
      <c r="R54" s="11"/>
      <c r="S54" s="11"/>
      <c r="T54" s="11"/>
    </row>
    <row r="55" spans="2:20" ht="29.4" customHeight="1" x14ac:dyDescent="0.3">
      <c r="B55" s="231" t="s">
        <v>146</v>
      </c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</row>
    <row r="56" spans="2:20" ht="29.4" customHeight="1" x14ac:dyDescent="0.3">
      <c r="B56" s="252" t="s">
        <v>115</v>
      </c>
      <c r="C56" s="253"/>
      <c r="D56" s="253"/>
      <c r="E56" s="253"/>
      <c r="F56" s="253"/>
      <c r="G56" s="253"/>
      <c r="H56" s="253"/>
      <c r="I56" s="253"/>
      <c r="J56" s="253"/>
      <c r="K56" s="253"/>
      <c r="L56" s="253"/>
      <c r="M56" s="253"/>
      <c r="N56" s="253"/>
      <c r="O56" s="253"/>
      <c r="P56" s="253"/>
      <c r="Q56" s="253"/>
      <c r="R56" s="253"/>
      <c r="S56" s="253"/>
      <c r="T56" s="253"/>
    </row>
    <row r="57" spans="2:20" ht="7.8" customHeight="1" thickBot="1" x14ac:dyDescent="0.35">
      <c r="L57" s="1"/>
    </row>
    <row r="58" spans="2:20" ht="14.4" customHeight="1" x14ac:dyDescent="0.3">
      <c r="B58" s="91" t="s">
        <v>85</v>
      </c>
      <c r="C58" s="173" t="s">
        <v>97</v>
      </c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5"/>
    </row>
    <row r="59" spans="2:20" x14ac:dyDescent="0.3">
      <c r="B59" s="135"/>
      <c r="C59" s="176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8"/>
    </row>
    <row r="60" spans="2:20" ht="15" thickBot="1" x14ac:dyDescent="0.35">
      <c r="C60" s="179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1"/>
    </row>
    <row r="61" spans="2:20" x14ac:dyDescent="0.3">
      <c r="B61" s="108"/>
      <c r="C61" s="108"/>
      <c r="D61" s="108"/>
      <c r="E61" s="108"/>
      <c r="F61" s="108"/>
      <c r="G61" s="108"/>
      <c r="L61" s="1"/>
    </row>
    <row r="62" spans="2:20" x14ac:dyDescent="0.3">
      <c r="C62" s="6" t="s">
        <v>98</v>
      </c>
      <c r="E62" s="16"/>
      <c r="F62" s="16"/>
      <c r="G62" s="108"/>
      <c r="I62" s="16"/>
      <c r="J62" s="16"/>
      <c r="K62" s="16"/>
      <c r="L62" s="2" t="s">
        <v>99</v>
      </c>
      <c r="P62" s="16"/>
    </row>
    <row r="63" spans="2:20" ht="9" customHeight="1" x14ac:dyDescent="0.3">
      <c r="B63" s="1"/>
      <c r="E63" s="16"/>
      <c r="F63" s="16"/>
      <c r="G63" s="108"/>
      <c r="I63" s="16"/>
      <c r="J63" s="16"/>
      <c r="K63" s="16"/>
      <c r="L63" s="1"/>
      <c r="M63" s="32"/>
      <c r="O63" s="16"/>
      <c r="P63" s="16"/>
    </row>
    <row r="64" spans="2:20" x14ac:dyDescent="0.3">
      <c r="C64" s="1" t="s">
        <v>2</v>
      </c>
      <c r="G64" s="108"/>
      <c r="H64" s="134">
        <v>0.1</v>
      </c>
      <c r="I64" s="96">
        <f t="shared" ref="I64:I69" si="0">H64/1</f>
        <v>0.1</v>
      </c>
      <c r="L64" s="1" t="s">
        <v>3</v>
      </c>
      <c r="O64" s="143">
        <v>0.08</v>
      </c>
      <c r="P64" s="9">
        <f t="shared" ref="P64:P66" si="1">O64/1</f>
        <v>0.08</v>
      </c>
    </row>
    <row r="65" spans="2:20" x14ac:dyDescent="0.3">
      <c r="C65" s="1" t="s">
        <v>4</v>
      </c>
      <c r="G65" s="108"/>
      <c r="H65" s="134">
        <v>0.05</v>
      </c>
      <c r="I65" s="3">
        <f t="shared" si="0"/>
        <v>0.05</v>
      </c>
      <c r="L65" s="1" t="s">
        <v>5</v>
      </c>
      <c r="O65" s="143"/>
      <c r="P65" s="3">
        <f t="shared" si="1"/>
        <v>0</v>
      </c>
      <c r="R65" s="143">
        <v>0.05</v>
      </c>
    </row>
    <row r="66" spans="2:20" x14ac:dyDescent="0.3">
      <c r="C66" s="1" t="s">
        <v>6</v>
      </c>
      <c r="G66" s="108"/>
      <c r="H66" s="134">
        <v>0.1</v>
      </c>
      <c r="I66" s="96">
        <f t="shared" si="0"/>
        <v>0.1</v>
      </c>
      <c r="L66" s="8" t="s">
        <v>7</v>
      </c>
      <c r="O66" s="143"/>
      <c r="P66" s="3">
        <f t="shared" si="1"/>
        <v>0</v>
      </c>
      <c r="R66" s="143">
        <v>0.03</v>
      </c>
    </row>
    <row r="67" spans="2:20" x14ac:dyDescent="0.3">
      <c r="C67" s="1" t="s">
        <v>8</v>
      </c>
      <c r="G67" s="108"/>
      <c r="H67" s="134">
        <v>0.05</v>
      </c>
      <c r="I67" s="3">
        <f t="shared" si="0"/>
        <v>0.05</v>
      </c>
      <c r="L67" s="8" t="s">
        <v>11</v>
      </c>
      <c r="O67" s="143"/>
      <c r="P67" s="3">
        <f>O67/1</f>
        <v>0</v>
      </c>
      <c r="R67" s="143">
        <v>0.08</v>
      </c>
    </row>
    <row r="68" spans="2:20" x14ac:dyDescent="0.3">
      <c r="C68" s="1" t="s">
        <v>10</v>
      </c>
      <c r="G68" s="108"/>
      <c r="H68" s="134">
        <v>0.1</v>
      </c>
      <c r="I68" s="96">
        <f t="shared" si="0"/>
        <v>0.1</v>
      </c>
      <c r="L68" s="8" t="s">
        <v>13</v>
      </c>
      <c r="O68" s="143"/>
      <c r="P68" s="3">
        <f>O68/1</f>
        <v>0</v>
      </c>
      <c r="R68" s="143">
        <v>0.03</v>
      </c>
    </row>
    <row r="69" spans="2:20" x14ac:dyDescent="0.3">
      <c r="C69" s="1" t="s">
        <v>12</v>
      </c>
      <c r="G69" s="108"/>
      <c r="H69" s="134">
        <v>0.05</v>
      </c>
      <c r="I69" s="3">
        <f t="shared" si="0"/>
        <v>0.05</v>
      </c>
      <c r="L69" s="8" t="s">
        <v>15</v>
      </c>
      <c r="O69" s="143"/>
      <c r="P69" s="3">
        <f>O69/1</f>
        <v>0</v>
      </c>
      <c r="R69" s="143">
        <v>0.03</v>
      </c>
    </row>
    <row r="70" spans="2:20" x14ac:dyDescent="0.3">
      <c r="C70" s="1" t="s">
        <v>14</v>
      </c>
      <c r="F70" s="164"/>
      <c r="G70" s="108"/>
      <c r="H70" s="134"/>
      <c r="I70" s="3">
        <f>H70/1</f>
        <v>0</v>
      </c>
      <c r="J70" s="134">
        <v>0.03</v>
      </c>
      <c r="L70" s="8" t="s">
        <v>9</v>
      </c>
      <c r="O70" s="143"/>
      <c r="P70" s="3">
        <f>O70/1</f>
        <v>0</v>
      </c>
      <c r="R70" s="143">
        <v>0.03</v>
      </c>
    </row>
    <row r="71" spans="2:20" x14ac:dyDescent="0.3">
      <c r="B71" s="1"/>
      <c r="G71" s="108"/>
    </row>
    <row r="72" spans="2:20" x14ac:dyDescent="0.3">
      <c r="B72" s="1"/>
      <c r="G72" s="108"/>
      <c r="L72" s="159" t="s">
        <v>172</v>
      </c>
    </row>
    <row r="73" spans="2:20" x14ac:dyDescent="0.3">
      <c r="B73" s="1"/>
      <c r="G73" s="108"/>
      <c r="L73" s="159" t="s">
        <v>171</v>
      </c>
    </row>
    <row r="74" spans="2:20" x14ac:dyDescent="0.3">
      <c r="B74" s="1"/>
      <c r="G74" s="108"/>
    </row>
    <row r="75" spans="2:20" x14ac:dyDescent="0.3">
      <c r="B75" s="1"/>
      <c r="C75" s="209" t="s">
        <v>100</v>
      </c>
      <c r="D75" s="209"/>
      <c r="E75" s="209"/>
      <c r="F75" s="209"/>
      <c r="G75" s="209"/>
      <c r="H75" s="95">
        <f>I75</f>
        <v>0.45</v>
      </c>
      <c r="I75" s="94">
        <f>SUM(I64,I65,I66,I67,I68,I69,I70)</f>
        <v>0.45</v>
      </c>
      <c r="L75" s="209" t="s">
        <v>102</v>
      </c>
      <c r="M75" s="209"/>
      <c r="N75" s="209"/>
      <c r="O75" s="95">
        <f>P75</f>
        <v>0.08</v>
      </c>
      <c r="P75" s="94">
        <f>SUM(P64,P65,P66,P67,P68,P69,P70)</f>
        <v>0.08</v>
      </c>
    </row>
    <row r="76" spans="2:20" ht="7.8" customHeight="1" x14ac:dyDescent="0.3">
      <c r="L76" s="1"/>
    </row>
    <row r="77" spans="2:20" ht="9" customHeight="1" x14ac:dyDescent="0.3">
      <c r="B77" s="103"/>
      <c r="C77" s="11"/>
      <c r="D77" s="11"/>
      <c r="E77" s="11"/>
      <c r="F77" s="11"/>
      <c r="G77" s="11"/>
      <c r="H77" s="11"/>
      <c r="I77" s="11"/>
      <c r="J77" s="11"/>
      <c r="K77" s="88"/>
      <c r="L77" s="103"/>
      <c r="M77" s="11"/>
      <c r="N77" s="11"/>
      <c r="O77" s="11"/>
      <c r="P77" s="11"/>
      <c r="Q77" s="11"/>
      <c r="R77" s="11"/>
      <c r="S77" s="11"/>
      <c r="T77" s="11"/>
    </row>
    <row r="78" spans="2:20" ht="9" customHeight="1" x14ac:dyDescent="0.3">
      <c r="B78" s="1"/>
      <c r="J78" s="101"/>
      <c r="K78" s="88"/>
    </row>
    <row r="79" spans="2:20" ht="15.6" x14ac:dyDescent="0.3">
      <c r="B79" s="1"/>
      <c r="J79" s="101"/>
      <c r="K79" s="88"/>
      <c r="L79" s="153" t="s">
        <v>149</v>
      </c>
      <c r="M79" s="2"/>
      <c r="N79" s="2"/>
      <c r="O79" s="2"/>
      <c r="P79" s="2"/>
      <c r="Q79" s="2"/>
    </row>
    <row r="80" spans="2:20" ht="9" customHeight="1" x14ac:dyDescent="0.3">
      <c r="B80" s="1"/>
      <c r="J80" s="101"/>
      <c r="K80" s="88"/>
    </row>
    <row r="81" spans="2:20" ht="14.4" customHeight="1" x14ac:dyDescent="0.3">
      <c r="B81" s="1"/>
      <c r="J81" s="101"/>
      <c r="K81" s="88"/>
      <c r="L81" s="211" t="s">
        <v>116</v>
      </c>
      <c r="M81" s="212"/>
      <c r="N81" s="212"/>
      <c r="O81" s="212"/>
      <c r="P81" s="212"/>
      <c r="Q81" s="212"/>
      <c r="R81" s="212"/>
      <c r="S81" s="212"/>
      <c r="T81" s="212"/>
    </row>
    <row r="82" spans="2:20" ht="14.4" customHeight="1" x14ac:dyDescent="0.3">
      <c r="B82" s="1"/>
      <c r="J82" s="101"/>
      <c r="K82" s="88"/>
      <c r="L82" s="211"/>
      <c r="M82" s="212"/>
      <c r="N82" s="212"/>
      <c r="O82" s="212"/>
      <c r="P82" s="212"/>
      <c r="Q82" s="212"/>
      <c r="R82" s="212"/>
      <c r="S82" s="212"/>
      <c r="T82" s="212"/>
    </row>
    <row r="83" spans="2:20" ht="8.4" customHeight="1" x14ac:dyDescent="0.3">
      <c r="B83" s="1"/>
      <c r="J83" s="101"/>
      <c r="K83" s="88"/>
      <c r="L83" s="99"/>
    </row>
    <row r="84" spans="2:20" ht="14.4" customHeight="1" x14ac:dyDescent="0.3">
      <c r="B84" s="1"/>
      <c r="J84" s="101"/>
      <c r="K84" s="88"/>
      <c r="L84" s="213" t="s">
        <v>147</v>
      </c>
      <c r="M84" s="214"/>
      <c r="N84" s="214"/>
      <c r="O84" s="214"/>
      <c r="P84" s="214"/>
      <c r="Q84" s="214"/>
      <c r="R84" s="214"/>
      <c r="S84" s="214"/>
      <c r="T84" s="214"/>
    </row>
    <row r="85" spans="2:20" ht="9" customHeight="1" x14ac:dyDescent="0.3">
      <c r="B85" s="1"/>
      <c r="J85" s="101"/>
      <c r="K85" s="88"/>
      <c r="L85" s="213"/>
      <c r="M85" s="214"/>
      <c r="N85" s="214"/>
      <c r="O85" s="214"/>
      <c r="P85" s="214"/>
      <c r="Q85" s="214"/>
      <c r="R85" s="214"/>
      <c r="S85" s="214"/>
      <c r="T85" s="214"/>
    </row>
    <row r="86" spans="2:20" ht="14.4" customHeight="1" x14ac:dyDescent="0.3">
      <c r="B86" s="1"/>
      <c r="J86" s="101"/>
      <c r="K86" s="88"/>
      <c r="L86" s="213"/>
      <c r="M86" s="214"/>
      <c r="N86" s="214"/>
      <c r="O86" s="214"/>
      <c r="P86" s="214"/>
      <c r="Q86" s="214"/>
      <c r="R86" s="214"/>
      <c r="S86" s="214"/>
      <c r="T86" s="214"/>
    </row>
    <row r="87" spans="2:20" ht="14.4" customHeight="1" x14ac:dyDescent="0.3">
      <c r="B87" s="1"/>
      <c r="J87" s="101"/>
      <c r="K87" s="88"/>
      <c r="L87" s="213"/>
      <c r="M87" s="214"/>
      <c r="N87" s="214"/>
      <c r="O87" s="214"/>
      <c r="P87" s="214"/>
      <c r="Q87" s="214"/>
      <c r="R87" s="214"/>
      <c r="S87" s="214"/>
      <c r="T87" s="214"/>
    </row>
    <row r="88" spans="2:20" ht="14.4" customHeight="1" x14ac:dyDescent="0.3">
      <c r="B88" s="1"/>
      <c r="J88" s="101"/>
      <c r="K88" s="88"/>
      <c r="L88" s="213"/>
      <c r="M88" s="214"/>
      <c r="N88" s="214"/>
      <c r="O88" s="214"/>
      <c r="P88" s="214"/>
      <c r="Q88" s="214"/>
      <c r="R88" s="214"/>
      <c r="S88" s="214"/>
      <c r="T88" s="214"/>
    </row>
    <row r="89" spans="2:20" ht="14.4" customHeight="1" x14ac:dyDescent="0.3">
      <c r="B89" s="1"/>
      <c r="J89" s="101"/>
      <c r="K89" s="88"/>
      <c r="L89" s="213"/>
      <c r="M89" s="214"/>
      <c r="N89" s="214"/>
      <c r="O89" s="214"/>
      <c r="P89" s="214"/>
      <c r="Q89" s="214"/>
      <c r="R89" s="214"/>
      <c r="S89" s="214"/>
      <c r="T89" s="214"/>
    </row>
    <row r="90" spans="2:20" ht="14.4" customHeight="1" x14ac:dyDescent="0.3">
      <c r="B90" s="1"/>
      <c r="J90" s="101"/>
      <c r="K90" s="88"/>
      <c r="L90" s="213"/>
      <c r="M90" s="214"/>
      <c r="N90" s="214"/>
      <c r="O90" s="214"/>
      <c r="P90" s="214"/>
      <c r="Q90" s="214"/>
      <c r="R90" s="214"/>
      <c r="S90" s="214"/>
      <c r="T90" s="214"/>
    </row>
    <row r="91" spans="2:20" ht="14.4" customHeight="1" x14ac:dyDescent="0.3">
      <c r="B91" s="1"/>
      <c r="J91" s="101"/>
      <c r="K91" s="88"/>
      <c r="L91" s="213"/>
      <c r="M91" s="214"/>
      <c r="N91" s="214"/>
      <c r="O91" s="214"/>
      <c r="P91" s="214"/>
      <c r="Q91" s="214"/>
      <c r="R91" s="214"/>
      <c r="S91" s="214"/>
      <c r="T91" s="214"/>
    </row>
    <row r="92" spans="2:20" ht="9" customHeight="1" x14ac:dyDescent="0.3">
      <c r="B92" s="1"/>
      <c r="J92" s="101"/>
      <c r="K92" s="88"/>
      <c r="L92" s="99"/>
    </row>
    <row r="93" spans="2:20" x14ac:dyDescent="0.3">
      <c r="B93" s="1"/>
      <c r="J93" s="101"/>
      <c r="K93" s="88"/>
      <c r="L93" s="99"/>
      <c r="O93" s="187" t="s">
        <v>24</v>
      </c>
      <c r="P93" s="187"/>
    </row>
    <row r="94" spans="2:20" ht="14.4" customHeight="1" x14ac:dyDescent="0.3">
      <c r="B94" s="1"/>
      <c r="J94" s="101"/>
      <c r="K94" s="88"/>
      <c r="L94" s="99"/>
      <c r="M94" s="82" t="s">
        <v>0</v>
      </c>
      <c r="N94" s="2"/>
      <c r="O94" s="210">
        <f>IF(O51&lt;0,(O51-(O51*$H$75)),(O51+(O51*$H$75)))</f>
        <v>1865.4352345173043</v>
      </c>
      <c r="P94" s="210"/>
    </row>
    <row r="95" spans="2:20" ht="14.4" customHeight="1" x14ac:dyDescent="0.3">
      <c r="B95" s="1"/>
      <c r="J95" s="101"/>
      <c r="K95" s="88"/>
      <c r="L95" s="99"/>
      <c r="M95" s="82" t="s">
        <v>26</v>
      </c>
      <c r="N95" s="2"/>
      <c r="O95" s="210">
        <f>IF(O52&lt;0,(O52-(O52*$O$75)),(O52+(O52*$O$75)))</f>
        <v>-31.062987249544626</v>
      </c>
      <c r="P95" s="210"/>
    </row>
    <row r="96" spans="2:20" ht="14.4" customHeight="1" x14ac:dyDescent="0.3">
      <c r="B96" s="1"/>
      <c r="J96" s="101"/>
      <c r="K96" s="88"/>
      <c r="L96" s="99"/>
    </row>
    <row r="97" spans="2:22" ht="9" customHeight="1" x14ac:dyDescent="0.3">
      <c r="B97" s="103"/>
      <c r="C97" s="11"/>
      <c r="D97" s="11"/>
      <c r="E97" s="11"/>
      <c r="F97" s="11"/>
      <c r="G97" s="11"/>
      <c r="H97" s="11"/>
      <c r="I97" s="11"/>
      <c r="J97" s="11"/>
      <c r="K97" s="11"/>
      <c r="L97" s="103"/>
      <c r="M97" s="11"/>
      <c r="N97" s="11"/>
      <c r="O97" s="11"/>
      <c r="P97" s="11"/>
      <c r="Q97" s="11"/>
      <c r="R97" s="11"/>
      <c r="S97" s="11"/>
      <c r="T97" s="11"/>
    </row>
    <row r="98" spans="2:22" ht="29.4" customHeight="1" x14ac:dyDescent="0.3">
      <c r="B98" s="231" t="s">
        <v>148</v>
      </c>
      <c r="C98" s="232"/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</row>
    <row r="99" spans="2:22" ht="29.4" customHeight="1" x14ac:dyDescent="0.3">
      <c r="B99" s="252" t="s">
        <v>173</v>
      </c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</row>
    <row r="100" spans="2:22" ht="7.8" customHeight="1" x14ac:dyDescent="0.3">
      <c r="K100" s="88"/>
      <c r="L100" s="1"/>
    </row>
    <row r="101" spans="2:22" ht="14.4" customHeight="1" x14ac:dyDescent="0.3">
      <c r="B101" s="91" t="s">
        <v>101</v>
      </c>
      <c r="C101" s="91" t="s">
        <v>174</v>
      </c>
      <c r="K101" s="88"/>
      <c r="L101" s="213" t="s">
        <v>119</v>
      </c>
      <c r="M101" s="214"/>
      <c r="N101" s="214"/>
      <c r="O101" s="214"/>
      <c r="P101" s="214"/>
      <c r="Q101" s="214"/>
      <c r="R101" s="214"/>
      <c r="S101" s="214"/>
      <c r="T101" s="214"/>
      <c r="V101" s="264" t="s">
        <v>175</v>
      </c>
    </row>
    <row r="102" spans="2:22" ht="14.4" customHeight="1" x14ac:dyDescent="0.3">
      <c r="B102" s="91"/>
      <c r="C102" s="193" t="s">
        <v>180</v>
      </c>
      <c r="D102" s="193"/>
      <c r="E102" s="193"/>
      <c r="F102" s="193"/>
      <c r="G102" s="193"/>
      <c r="H102" s="193"/>
      <c r="I102" s="193"/>
      <c r="J102" s="194"/>
      <c r="K102" s="88"/>
      <c r="L102" s="213"/>
      <c r="M102" s="214"/>
      <c r="N102" s="214"/>
      <c r="O102" s="214"/>
      <c r="P102" s="214"/>
      <c r="Q102" s="214"/>
      <c r="R102" s="214"/>
      <c r="S102" s="214"/>
      <c r="T102" s="214"/>
      <c r="V102" s="264"/>
    </row>
    <row r="103" spans="2:22" x14ac:dyDescent="0.3">
      <c r="B103" s="91"/>
      <c r="C103" s="193"/>
      <c r="D103" s="193"/>
      <c r="E103" s="193"/>
      <c r="F103" s="193"/>
      <c r="G103" s="193"/>
      <c r="H103" s="193"/>
      <c r="I103" s="193"/>
      <c r="J103" s="194"/>
      <c r="K103" s="88"/>
      <c r="L103" s="213"/>
      <c r="M103" s="214"/>
      <c r="N103" s="214"/>
      <c r="O103" s="214"/>
      <c r="P103" s="214"/>
      <c r="Q103" s="214"/>
      <c r="R103" s="214"/>
      <c r="S103" s="214"/>
      <c r="T103" s="214"/>
      <c r="V103" s="264"/>
    </row>
    <row r="104" spans="2:22" x14ac:dyDescent="0.3">
      <c r="B104" s="91"/>
      <c r="C104" s="193"/>
      <c r="D104" s="193"/>
      <c r="E104" s="193"/>
      <c r="F104" s="193"/>
      <c r="G104" s="193"/>
      <c r="H104" s="193"/>
      <c r="I104" s="193"/>
      <c r="J104" s="194"/>
      <c r="K104" s="88"/>
      <c r="L104" s="213"/>
      <c r="M104" s="214"/>
      <c r="N104" s="214"/>
      <c r="O104" s="214"/>
      <c r="P104" s="214"/>
      <c r="Q104" s="214"/>
      <c r="R104" s="214"/>
      <c r="S104" s="214"/>
      <c r="T104" s="214"/>
      <c r="V104" s="264"/>
    </row>
    <row r="105" spans="2:22" x14ac:dyDescent="0.3">
      <c r="K105" s="88"/>
      <c r="L105" s="213"/>
      <c r="M105" s="214"/>
      <c r="N105" s="214"/>
      <c r="O105" s="214"/>
      <c r="P105" s="214"/>
      <c r="Q105" s="214"/>
      <c r="R105" s="214"/>
      <c r="S105" s="214"/>
      <c r="T105" s="214"/>
      <c r="V105" s="264"/>
    </row>
    <row r="106" spans="2:22" ht="14.4" customHeight="1" x14ac:dyDescent="0.3">
      <c r="C106" s="184" t="s">
        <v>87</v>
      </c>
      <c r="K106" s="88"/>
      <c r="L106" s="213"/>
      <c r="M106" s="214"/>
      <c r="N106" s="214"/>
      <c r="O106" s="214"/>
      <c r="P106" s="214"/>
      <c r="Q106" s="214"/>
      <c r="R106" s="214"/>
      <c r="S106" s="214"/>
      <c r="T106" s="214"/>
      <c r="V106" s="264"/>
    </row>
    <row r="107" spans="2:22" ht="14.4" customHeight="1" x14ac:dyDescent="0.3">
      <c r="C107" s="184"/>
      <c r="K107" s="88"/>
      <c r="S107" s="92"/>
      <c r="V107" s="264"/>
    </row>
    <row r="108" spans="2:22" ht="14.4" customHeight="1" x14ac:dyDescent="0.3">
      <c r="C108" s="184"/>
      <c r="K108" s="88"/>
      <c r="M108" s="15" t="s">
        <v>181</v>
      </c>
      <c r="O108" s="227">
        <f>P10-F10</f>
        <v>-2</v>
      </c>
      <c r="P108" s="228"/>
      <c r="R108" s="102"/>
      <c r="S108" s="92"/>
      <c r="V108" s="264"/>
    </row>
    <row r="109" spans="2:22" ht="14.4" customHeight="1" x14ac:dyDescent="0.3">
      <c r="C109" s="184"/>
      <c r="J109" s="92"/>
      <c r="K109" s="88"/>
      <c r="M109" s="15" t="s">
        <v>181</v>
      </c>
      <c r="O109" s="229">
        <f>ABS(P10-F10)</f>
        <v>2</v>
      </c>
      <c r="P109" s="230"/>
      <c r="R109" s="102" t="s">
        <v>103</v>
      </c>
      <c r="T109" s="92"/>
      <c r="V109" s="264"/>
    </row>
    <row r="110" spans="2:22" ht="9" customHeight="1" x14ac:dyDescent="0.3">
      <c r="C110" s="184"/>
      <c r="K110" s="88"/>
      <c r="V110" s="264"/>
    </row>
    <row r="111" spans="2:22" x14ac:dyDescent="0.3">
      <c r="E111" s="187" t="s">
        <v>24</v>
      </c>
      <c r="F111" s="187"/>
      <c r="H111" s="187" t="s">
        <v>25</v>
      </c>
      <c r="I111" s="187"/>
      <c r="K111" s="88"/>
      <c r="O111" s="187" t="s">
        <v>24</v>
      </c>
      <c r="P111" s="187"/>
      <c r="V111" s="264"/>
    </row>
    <row r="112" spans="2:22" x14ac:dyDescent="0.3">
      <c r="C112" s="82" t="s">
        <v>0</v>
      </c>
      <c r="E112" s="185">
        <f>E34/$F$10</f>
        <v>1167.6666666666667</v>
      </c>
      <c r="F112" s="186"/>
      <c r="H112" s="185">
        <f>H34/$F$10</f>
        <v>1232</v>
      </c>
      <c r="I112" s="186"/>
      <c r="K112" s="88"/>
      <c r="M112" s="82" t="s">
        <v>0</v>
      </c>
      <c r="O112" s="185">
        <f>IF($O$108&lt;0,(O94-(E112*$O$109)),O94+(E112*$O$109))</f>
        <v>-469.89809881602923</v>
      </c>
      <c r="P112" s="186"/>
      <c r="V112" s="264"/>
    </row>
    <row r="113" spans="2:22" x14ac:dyDescent="0.3">
      <c r="C113" s="82" t="s">
        <v>26</v>
      </c>
      <c r="D113" s="32"/>
      <c r="E113" s="185">
        <f>E35/$F$10</f>
        <v>43.666666666666664</v>
      </c>
      <c r="F113" s="186"/>
      <c r="G113" s="32"/>
      <c r="H113" s="185">
        <f>H35/$F$10</f>
        <v>46</v>
      </c>
      <c r="I113" s="186"/>
      <c r="K113" s="88"/>
      <c r="M113" s="82" t="s">
        <v>26</v>
      </c>
      <c r="N113" s="32"/>
      <c r="O113" s="185">
        <f>IF($O$108&lt;0,(O95-(E113*$O$109)),O95+(E113*$O$109))</f>
        <v>-118.39632058287796</v>
      </c>
      <c r="P113" s="186"/>
      <c r="V113" s="264"/>
    </row>
    <row r="114" spans="2:22" ht="14.4" customHeight="1" x14ac:dyDescent="0.3">
      <c r="K114" s="88"/>
      <c r="V114" s="264"/>
    </row>
    <row r="115" spans="2:22" ht="9" customHeight="1" x14ac:dyDescent="0.3">
      <c r="B115" s="103"/>
      <c r="C115" s="11"/>
      <c r="D115" s="11"/>
      <c r="E115" s="11"/>
      <c r="F115" s="11"/>
      <c r="G115" s="11"/>
      <c r="H115" s="11"/>
      <c r="I115" s="11"/>
      <c r="J115" s="11"/>
      <c r="K115" s="11"/>
      <c r="L115" s="103"/>
      <c r="M115" s="11"/>
      <c r="N115" s="11"/>
      <c r="O115" s="11"/>
      <c r="P115" s="11"/>
      <c r="Q115" s="11"/>
      <c r="R115" s="11"/>
      <c r="S115" s="11"/>
      <c r="T115" s="11"/>
    </row>
    <row r="116" spans="2:22" ht="29.4" customHeight="1" x14ac:dyDescent="0.3">
      <c r="B116" s="248" t="s">
        <v>150</v>
      </c>
      <c r="C116" s="249"/>
      <c r="D116" s="249"/>
      <c r="E116" s="249"/>
      <c r="F116" s="249"/>
      <c r="G116" s="249"/>
      <c r="H116" s="249"/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</row>
    <row r="117" spans="2:22" ht="29.4" customHeight="1" x14ac:dyDescent="0.3">
      <c r="B117" s="215" t="s">
        <v>75</v>
      </c>
      <c r="C117" s="215"/>
      <c r="D117" s="215"/>
      <c r="E117" s="215"/>
      <c r="F117" s="154">
        <f>C31</f>
        <v>534</v>
      </c>
      <c r="G117" s="5" t="s">
        <v>76</v>
      </c>
      <c r="H117" s="5"/>
      <c r="I117" s="5"/>
      <c r="J117" s="5"/>
      <c r="K117" s="88"/>
      <c r="L117" s="215" t="s">
        <v>75</v>
      </c>
      <c r="M117" s="215"/>
      <c r="N117" s="215"/>
      <c r="O117" s="215"/>
      <c r="P117" s="154">
        <f>M31</f>
        <v>129.36612021857925</v>
      </c>
      <c r="Q117" s="5" t="s">
        <v>76</v>
      </c>
      <c r="R117" s="5"/>
      <c r="S117" s="5"/>
      <c r="T117" s="5"/>
    </row>
    <row r="118" spans="2:22" ht="7.8" customHeight="1" x14ac:dyDescent="0.3">
      <c r="K118" s="88"/>
    </row>
    <row r="119" spans="2:22" ht="15" thickBot="1" x14ac:dyDescent="0.35">
      <c r="E119" s="195" t="s">
        <v>24</v>
      </c>
      <c r="F119" s="195"/>
      <c r="H119" s="195" t="s">
        <v>25</v>
      </c>
      <c r="I119" s="195"/>
      <c r="K119" s="88"/>
      <c r="O119" s="187" t="s">
        <v>24</v>
      </c>
      <c r="P119" s="187"/>
      <c r="R119" s="187"/>
      <c r="S119" s="187"/>
    </row>
    <row r="120" spans="2:22" x14ac:dyDescent="0.3">
      <c r="C120" s="115" t="s">
        <v>0</v>
      </c>
      <c r="D120" s="116"/>
      <c r="E120" s="218">
        <f>E34</f>
        <v>3503</v>
      </c>
      <c r="F120" s="218"/>
      <c r="G120" s="116"/>
      <c r="H120" s="218">
        <f>H34</f>
        <v>3696</v>
      </c>
      <c r="I120" s="219"/>
      <c r="J120" s="90"/>
      <c r="K120" s="88"/>
      <c r="M120" s="15" t="s">
        <v>0</v>
      </c>
      <c r="O120" s="246">
        <f>O112</f>
        <v>-469.89809881602923</v>
      </c>
      <c r="P120" s="247"/>
      <c r="R120" s="187"/>
      <c r="S120" s="187"/>
      <c r="T120" s="90"/>
    </row>
    <row r="121" spans="2:22" x14ac:dyDescent="0.3">
      <c r="C121" s="117" t="s">
        <v>26</v>
      </c>
      <c r="D121" s="118"/>
      <c r="E121" s="216">
        <f>E35</f>
        <v>131</v>
      </c>
      <c r="F121" s="216"/>
      <c r="G121" s="118"/>
      <c r="H121" s="216">
        <f>H35</f>
        <v>138</v>
      </c>
      <c r="I121" s="217"/>
      <c r="J121" s="90"/>
      <c r="K121" s="88"/>
      <c r="M121" s="15" t="s">
        <v>26</v>
      </c>
      <c r="O121" s="246">
        <f>O113</f>
        <v>-118.39632058287796</v>
      </c>
      <c r="P121" s="247"/>
      <c r="R121" s="187"/>
      <c r="S121" s="187"/>
      <c r="T121" s="90"/>
    </row>
    <row r="122" spans="2:22" ht="15" thickBot="1" x14ac:dyDescent="0.35">
      <c r="C122" s="112" t="s">
        <v>27</v>
      </c>
      <c r="D122" s="113"/>
      <c r="E122" s="182">
        <f>SUM(E120:F121)</f>
        <v>3634</v>
      </c>
      <c r="F122" s="182"/>
      <c r="G122" s="114"/>
      <c r="H122" s="182">
        <f>SUM(H120:I121)</f>
        <v>3834</v>
      </c>
      <c r="I122" s="183"/>
      <c r="K122" s="88"/>
      <c r="M122" s="80" t="s">
        <v>27</v>
      </c>
      <c r="O122" s="191">
        <f>SUM(O120:P121)</f>
        <v>-588.29441939890717</v>
      </c>
      <c r="P122" s="192"/>
      <c r="R122" s="187"/>
      <c r="S122" s="187"/>
    </row>
    <row r="123" spans="2:22" ht="14.4" customHeight="1" x14ac:dyDescent="0.3">
      <c r="K123" s="88"/>
    </row>
    <row r="124" spans="2:22" ht="9" customHeight="1" x14ac:dyDescent="0.3">
      <c r="B124" s="103"/>
      <c r="C124" s="11"/>
      <c r="D124" s="11"/>
      <c r="E124" s="11"/>
      <c r="F124" s="11"/>
      <c r="G124" s="11"/>
      <c r="H124" s="11"/>
      <c r="I124" s="11"/>
      <c r="J124" s="11"/>
      <c r="K124" s="11"/>
      <c r="L124" s="103"/>
      <c r="M124" s="11"/>
      <c r="N124" s="11"/>
      <c r="O124" s="11"/>
      <c r="P124" s="11"/>
      <c r="Q124" s="11"/>
      <c r="R124" s="11"/>
      <c r="S124" s="11"/>
      <c r="T124" s="11"/>
    </row>
    <row r="125" spans="2:22" ht="29.4" customHeight="1" x14ac:dyDescent="0.3">
      <c r="B125" s="248" t="s">
        <v>151</v>
      </c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</row>
    <row r="126" spans="2:22" ht="7.8" customHeight="1" x14ac:dyDescent="0.3">
      <c r="K126" s="88"/>
    </row>
    <row r="127" spans="2:22" ht="15" thickBot="1" x14ac:dyDescent="0.35">
      <c r="E127" s="195" t="s">
        <v>152</v>
      </c>
      <c r="F127" s="195"/>
      <c r="K127" s="88"/>
      <c r="O127" s="187" t="s">
        <v>152</v>
      </c>
      <c r="P127" s="187"/>
    </row>
    <row r="128" spans="2:22" x14ac:dyDescent="0.3">
      <c r="C128" s="158" t="s">
        <v>0</v>
      </c>
      <c r="D128" s="8"/>
      <c r="E128" s="250">
        <f>J9</f>
        <v>2.6</v>
      </c>
      <c r="F128" s="251"/>
      <c r="K128" s="88"/>
      <c r="M128" s="119" t="s">
        <v>0</v>
      </c>
      <c r="O128" s="225">
        <f>T9</f>
        <v>2.6</v>
      </c>
      <c r="P128" s="226"/>
    </row>
    <row r="129" spans="2:20" ht="15" thickBot="1" x14ac:dyDescent="0.35">
      <c r="C129" s="158" t="s">
        <v>26</v>
      </c>
      <c r="D129" s="8"/>
      <c r="E129" s="221">
        <f>J10</f>
        <v>1.8</v>
      </c>
      <c r="F129" s="222"/>
      <c r="K129" s="88"/>
      <c r="M129" s="119" t="s">
        <v>26</v>
      </c>
      <c r="O129" s="225">
        <f>T10</f>
        <v>1.45</v>
      </c>
      <c r="P129" s="226"/>
    </row>
    <row r="130" spans="2:20" ht="7.8" customHeight="1" x14ac:dyDescent="0.3">
      <c r="K130" s="88"/>
    </row>
    <row r="131" spans="2:20" x14ac:dyDescent="0.3">
      <c r="E131" s="187" t="s">
        <v>104</v>
      </c>
      <c r="F131" s="187"/>
      <c r="H131" s="187"/>
      <c r="I131" s="187"/>
      <c r="K131" s="88"/>
      <c r="O131" s="187" t="s">
        <v>104</v>
      </c>
      <c r="P131" s="187"/>
      <c r="R131" s="187"/>
      <c r="S131" s="187"/>
    </row>
    <row r="132" spans="2:20" x14ac:dyDescent="0.3">
      <c r="C132" s="119" t="s">
        <v>0</v>
      </c>
      <c r="D132" s="17"/>
      <c r="E132" s="189">
        <f>E120-(E120/$E$128)</f>
        <v>2155.6923076923076</v>
      </c>
      <c r="F132" s="190"/>
      <c r="H132" s="188"/>
      <c r="I132" s="187"/>
      <c r="K132" s="88"/>
      <c r="M132" s="119" t="s">
        <v>0</v>
      </c>
      <c r="N132" s="17"/>
      <c r="O132" s="189">
        <f>O120-(O120/$O$128)</f>
        <v>-289.16806080986419</v>
      </c>
      <c r="P132" s="190"/>
      <c r="R132" s="188"/>
      <c r="S132" s="187"/>
    </row>
    <row r="133" spans="2:20" x14ac:dyDescent="0.3">
      <c r="C133" s="119" t="s">
        <v>26</v>
      </c>
      <c r="D133" s="17"/>
      <c r="E133" s="189">
        <f>E121-(E121/$E$129)</f>
        <v>58.222222222222229</v>
      </c>
      <c r="F133" s="190"/>
      <c r="H133" s="187"/>
      <c r="I133" s="187"/>
      <c r="K133" s="88"/>
      <c r="M133" s="119" t="s">
        <v>26</v>
      </c>
      <c r="N133" s="17"/>
      <c r="O133" s="189">
        <f>O121-(O121/$O$129)</f>
        <v>-36.743685698134541</v>
      </c>
      <c r="P133" s="190"/>
      <c r="R133" s="187"/>
      <c r="S133" s="187"/>
    </row>
    <row r="134" spans="2:20" x14ac:dyDescent="0.3">
      <c r="C134" s="80" t="s">
        <v>27</v>
      </c>
      <c r="E134" s="191">
        <f>SUM(E132:F133)</f>
        <v>2213.9145299145298</v>
      </c>
      <c r="F134" s="192"/>
      <c r="H134" s="187"/>
      <c r="I134" s="187"/>
      <c r="K134" s="88"/>
      <c r="M134" s="80" t="s">
        <v>27</v>
      </c>
      <c r="O134" s="191">
        <f>SUM(O132:P133)</f>
        <v>-325.91174650799871</v>
      </c>
      <c r="P134" s="192"/>
      <c r="R134" s="187"/>
      <c r="S134" s="187"/>
    </row>
    <row r="135" spans="2:20" ht="14.4" customHeight="1" x14ac:dyDescent="0.3">
      <c r="K135" s="88"/>
    </row>
    <row r="136" spans="2:20" ht="9" customHeight="1" x14ac:dyDescent="0.3">
      <c r="B136" s="103"/>
      <c r="C136" s="11"/>
      <c r="D136" s="11"/>
      <c r="E136" s="11"/>
      <c r="F136" s="11"/>
      <c r="G136" s="11"/>
      <c r="H136" s="11"/>
      <c r="I136" s="11"/>
      <c r="J136" s="11"/>
      <c r="K136" s="11"/>
      <c r="L136" s="103"/>
      <c r="M136" s="11"/>
      <c r="N136" s="11"/>
      <c r="O136" s="11"/>
      <c r="P136" s="11"/>
      <c r="Q136" s="11"/>
      <c r="R136" s="11"/>
      <c r="S136" s="11"/>
      <c r="T136" s="11"/>
    </row>
    <row r="137" spans="2:20" ht="29.4" customHeight="1" x14ac:dyDescent="0.3">
      <c r="B137" s="244" t="s">
        <v>29</v>
      </c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</row>
    <row r="138" spans="2:20" ht="7.8" customHeight="1" x14ac:dyDescent="0.3">
      <c r="K138" s="88"/>
    </row>
    <row r="139" spans="2:20" x14ac:dyDescent="0.3">
      <c r="B139" s="233" t="s">
        <v>153</v>
      </c>
      <c r="C139" s="233"/>
      <c r="D139" s="233"/>
      <c r="E139" s="233"/>
      <c r="F139" s="233"/>
      <c r="G139" s="233"/>
      <c r="H139" s="233"/>
      <c r="I139" s="233"/>
      <c r="K139" s="88"/>
      <c r="L139" s="233" t="s">
        <v>153</v>
      </c>
      <c r="M139" s="233"/>
      <c r="N139" s="233"/>
      <c r="O139" s="233"/>
      <c r="P139" s="233"/>
      <c r="Q139" s="233"/>
      <c r="R139" s="233"/>
      <c r="S139" s="233"/>
    </row>
    <row r="140" spans="2:20" ht="4.8" customHeight="1" x14ac:dyDescent="0.3">
      <c r="C140" s="32"/>
      <c r="K140" s="88"/>
      <c r="M140" s="32"/>
    </row>
    <row r="141" spans="2:20" x14ac:dyDescent="0.3">
      <c r="B141" s="18" t="s">
        <v>154</v>
      </c>
      <c r="C141" s="15"/>
      <c r="D141" s="79"/>
      <c r="E141" s="260" t="s">
        <v>121</v>
      </c>
      <c r="F141" s="261"/>
      <c r="G141" s="79"/>
      <c r="H141" s="260" t="s">
        <v>122</v>
      </c>
      <c r="I141" s="261"/>
      <c r="K141" s="88"/>
      <c r="L141" s="18" t="s">
        <v>154</v>
      </c>
      <c r="M141" s="15"/>
      <c r="N141" s="79"/>
      <c r="O141" s="260" t="s">
        <v>121</v>
      </c>
      <c r="P141" s="261"/>
      <c r="Q141" s="79"/>
      <c r="R141" s="260" t="s">
        <v>122</v>
      </c>
      <c r="S141" s="261"/>
      <c r="T141" s="92"/>
    </row>
    <row r="142" spans="2:20" x14ac:dyDescent="0.3">
      <c r="B142" s="18" t="s">
        <v>155</v>
      </c>
      <c r="E142" s="254" t="s">
        <v>156</v>
      </c>
      <c r="F142" s="255"/>
      <c r="H142" s="156">
        <v>60</v>
      </c>
      <c r="I142" s="157" t="s">
        <v>43</v>
      </c>
      <c r="K142" s="88"/>
      <c r="L142" s="18" t="s">
        <v>155</v>
      </c>
      <c r="O142" s="254" t="s">
        <v>156</v>
      </c>
      <c r="P142" s="255"/>
      <c r="R142" s="156">
        <v>60</v>
      </c>
      <c r="S142" s="157" t="s">
        <v>43</v>
      </c>
      <c r="T142" s="92"/>
    </row>
    <row r="143" spans="2:20" ht="7.8" customHeight="1" x14ac:dyDescent="0.3">
      <c r="K143" s="88"/>
    </row>
    <row r="144" spans="2:20" x14ac:dyDescent="0.3">
      <c r="E144" s="220" t="s">
        <v>27</v>
      </c>
      <c r="F144" s="220"/>
      <c r="H144" s="220" t="s">
        <v>65</v>
      </c>
      <c r="I144" s="220"/>
      <c r="K144" s="88"/>
      <c r="O144" s="220" t="s">
        <v>27</v>
      </c>
      <c r="P144" s="220"/>
      <c r="R144" s="220" t="s">
        <v>65</v>
      </c>
      <c r="S144" s="220"/>
    </row>
    <row r="145" spans="2:20" x14ac:dyDescent="0.3">
      <c r="B145" s="233" t="s">
        <v>133</v>
      </c>
      <c r="C145" s="233"/>
      <c r="D145" s="233"/>
      <c r="E145" s="233"/>
      <c r="F145" s="233"/>
      <c r="G145" s="233"/>
      <c r="H145" s="233"/>
      <c r="I145" s="233"/>
      <c r="K145" s="88"/>
      <c r="L145" s="233" t="s">
        <v>133</v>
      </c>
      <c r="M145" s="233"/>
      <c r="N145" s="233"/>
      <c r="O145" s="233"/>
      <c r="P145" s="233"/>
      <c r="Q145" s="233"/>
      <c r="R145" s="233"/>
      <c r="S145" s="233"/>
    </row>
    <row r="146" spans="2:20" ht="4.8" customHeight="1" x14ac:dyDescent="0.3">
      <c r="C146" s="32"/>
      <c r="K146" s="88"/>
      <c r="M146" s="32"/>
    </row>
    <row r="147" spans="2:20" x14ac:dyDescent="0.3">
      <c r="B147" s="146" t="s">
        <v>77</v>
      </c>
      <c r="C147" s="160">
        <v>3</v>
      </c>
      <c r="D147" s="79"/>
      <c r="E147" s="171">
        <f>'COUTS - TECHNOS'!$T$8*C147</f>
        <v>81000</v>
      </c>
      <c r="F147" s="172"/>
      <c r="G147" s="79"/>
      <c r="H147" s="171">
        <f>E147/$H$142</f>
        <v>1350</v>
      </c>
      <c r="I147" s="172"/>
      <c r="K147" s="88"/>
      <c r="L147" s="146" t="s">
        <v>77</v>
      </c>
      <c r="M147" s="168">
        <f>P10</f>
        <v>1</v>
      </c>
      <c r="N147" s="79"/>
      <c r="O147" s="171">
        <f>'COUTS - TECHNOS'!$T$8*M147</f>
        <v>27000</v>
      </c>
      <c r="P147" s="172"/>
      <c r="Q147" s="79"/>
      <c r="R147" s="171">
        <f>O147/$R$142</f>
        <v>450</v>
      </c>
      <c r="S147" s="172"/>
      <c r="T147" s="92"/>
    </row>
    <row r="148" spans="2:20" x14ac:dyDescent="0.3">
      <c r="B148" s="146" t="s">
        <v>78</v>
      </c>
      <c r="C148" s="160">
        <v>1</v>
      </c>
      <c r="D148" s="79"/>
      <c r="E148" s="171">
        <f>'COUTS - TECHNOS'!$T$15*C148</f>
        <v>24000</v>
      </c>
      <c r="F148" s="172"/>
      <c r="G148" s="79"/>
      <c r="H148" s="171">
        <f>E148/$H$142</f>
        <v>400</v>
      </c>
      <c r="I148" s="172"/>
      <c r="K148" s="88"/>
      <c r="L148" s="146" t="s">
        <v>78</v>
      </c>
      <c r="M148" s="168">
        <f>P11</f>
        <v>0</v>
      </c>
      <c r="N148" s="79"/>
      <c r="O148" s="171">
        <f>'COUTS - TECHNOS'!$T$8*M148</f>
        <v>0</v>
      </c>
      <c r="P148" s="172"/>
      <c r="Q148" s="79"/>
      <c r="R148" s="171">
        <f>O148/$R$142</f>
        <v>0</v>
      </c>
      <c r="S148" s="172"/>
    </row>
    <row r="149" spans="2:20" x14ac:dyDescent="0.3">
      <c r="B149" s="18" t="s">
        <v>68</v>
      </c>
      <c r="C149" s="14" t="s">
        <v>52</v>
      </c>
      <c r="D149" s="79"/>
      <c r="E149" s="262" t="s">
        <v>52</v>
      </c>
      <c r="F149" s="263">
        <f>'COUTS - TECHNOS'!E22</f>
        <v>3000</v>
      </c>
      <c r="G149" s="79"/>
      <c r="H149" s="262" t="s">
        <v>52</v>
      </c>
      <c r="I149" s="263">
        <f>'COUTS - TECHNOS'!H22</f>
        <v>0</v>
      </c>
      <c r="K149" s="88"/>
      <c r="L149" s="18" t="s">
        <v>68</v>
      </c>
      <c r="M149" s="14" t="s">
        <v>52</v>
      </c>
      <c r="N149" s="79"/>
      <c r="O149" s="262" t="s">
        <v>52</v>
      </c>
      <c r="P149" s="263">
        <f>'COUTS - TECHNOS'!O22</f>
        <v>0</v>
      </c>
      <c r="Q149" s="79"/>
      <c r="R149" s="262" t="s">
        <v>52</v>
      </c>
      <c r="S149" s="263">
        <f>'COUTS - TECHNOS'!R22</f>
        <v>1</v>
      </c>
      <c r="T149" s="92"/>
    </row>
    <row r="150" spans="2:20" x14ac:dyDescent="0.3">
      <c r="B150" s="18" t="s">
        <v>83</v>
      </c>
      <c r="D150" s="79"/>
      <c r="E150" s="171">
        <f>'COUTS - TECHNOS'!$U$26</f>
        <v>3000</v>
      </c>
      <c r="F150" s="172"/>
      <c r="G150" s="79"/>
      <c r="H150" s="171">
        <f>E150/$H$142</f>
        <v>50</v>
      </c>
      <c r="I150" s="172"/>
      <c r="K150" s="88"/>
      <c r="L150" s="18" t="s">
        <v>83</v>
      </c>
      <c r="N150" s="79"/>
      <c r="O150" s="171">
        <f>'COUTS - TECHNOS'!$U$26</f>
        <v>3000</v>
      </c>
      <c r="P150" s="172"/>
      <c r="Q150" s="79"/>
      <c r="R150" s="171">
        <f>O150/$R$142</f>
        <v>50</v>
      </c>
      <c r="S150" s="172"/>
    </row>
    <row r="151" spans="2:20" x14ac:dyDescent="0.3">
      <c r="E151" s="234">
        <f>SUM(E147:F150)</f>
        <v>111000</v>
      </c>
      <c r="F151" s="235"/>
      <c r="H151" s="234">
        <f>SUM(H147:I150)</f>
        <v>1800</v>
      </c>
      <c r="I151" s="235"/>
      <c r="K151" s="88"/>
      <c r="O151" s="234">
        <f>SUM(O147:P150)</f>
        <v>30000</v>
      </c>
      <c r="P151" s="235"/>
      <c r="R151" s="234">
        <f>SUM(R147:S150)</f>
        <v>501</v>
      </c>
      <c r="S151" s="235"/>
    </row>
    <row r="152" spans="2:20" ht="7.8" customHeight="1" x14ac:dyDescent="0.3">
      <c r="C152" s="32"/>
      <c r="K152" s="88"/>
      <c r="M152" s="32"/>
    </row>
    <row r="153" spans="2:20" x14ac:dyDescent="0.3">
      <c r="B153" s="233" t="s">
        <v>134</v>
      </c>
      <c r="C153" s="233"/>
      <c r="D153" s="233"/>
      <c r="E153" s="233"/>
      <c r="F153" s="233"/>
      <c r="G153" s="233"/>
      <c r="H153" s="233"/>
      <c r="I153" s="233"/>
      <c r="K153" s="88"/>
      <c r="L153" s="233" t="s">
        <v>134</v>
      </c>
      <c r="M153" s="233"/>
      <c r="N153" s="233"/>
      <c r="O153" s="233"/>
      <c r="P153" s="233"/>
      <c r="Q153" s="233"/>
      <c r="R153" s="233"/>
      <c r="S153" s="233"/>
    </row>
    <row r="154" spans="2:20" ht="4.8" customHeight="1" x14ac:dyDescent="0.3">
      <c r="K154" s="88"/>
    </row>
    <row r="155" spans="2:20" x14ac:dyDescent="0.3">
      <c r="B155" s="18" t="s">
        <v>166</v>
      </c>
      <c r="D155" s="79"/>
      <c r="E155" s="171">
        <f>'COUTS - ANNEXES'!$Q$8*C147</f>
        <v>3600</v>
      </c>
      <c r="F155" s="172"/>
      <c r="G155" s="79"/>
      <c r="H155" s="171">
        <f>E155/$H$142</f>
        <v>60</v>
      </c>
      <c r="I155" s="172"/>
      <c r="K155" s="88"/>
      <c r="L155" s="18" t="s">
        <v>166</v>
      </c>
      <c r="N155" s="79"/>
      <c r="O155" s="171">
        <f>'COUTS - ANNEXES'!$Q$8*M147</f>
        <v>1200</v>
      </c>
      <c r="P155" s="172"/>
      <c r="Q155" s="79"/>
      <c r="R155" s="171">
        <f>O155/$R$142</f>
        <v>20</v>
      </c>
      <c r="S155" s="172"/>
      <c r="T155" s="92"/>
    </row>
    <row r="156" spans="2:20" x14ac:dyDescent="0.3">
      <c r="B156" s="18" t="s">
        <v>167</v>
      </c>
      <c r="D156" s="79"/>
      <c r="E156" s="171">
        <f>'COUTS - ANNEXES'!$Q$15*C148</f>
        <v>900</v>
      </c>
      <c r="F156" s="172"/>
      <c r="G156" s="79"/>
      <c r="H156" s="171">
        <f>E156/$H$142</f>
        <v>15</v>
      </c>
      <c r="I156" s="172"/>
      <c r="K156" s="88"/>
      <c r="L156" s="18" t="s">
        <v>167</v>
      </c>
      <c r="N156" s="79"/>
      <c r="O156" s="171">
        <f>'COUTS - ANNEXES'!$Q$15*M148</f>
        <v>0</v>
      </c>
      <c r="P156" s="172"/>
      <c r="Q156" s="79"/>
      <c r="R156" s="171">
        <f>O156/$R$142</f>
        <v>0</v>
      </c>
      <c r="S156" s="172"/>
    </row>
    <row r="157" spans="2:20" x14ac:dyDescent="0.3">
      <c r="B157" s="18" t="s">
        <v>138</v>
      </c>
      <c r="D157" s="79"/>
      <c r="E157" s="171">
        <f>'COUTS - ANNEXES'!$Q$22</f>
        <v>600</v>
      </c>
      <c r="F157" s="172"/>
      <c r="G157" s="79"/>
      <c r="H157" s="171">
        <f>E157/$H$142</f>
        <v>10</v>
      </c>
      <c r="I157" s="172"/>
      <c r="K157" s="88"/>
      <c r="L157" s="18" t="s">
        <v>138</v>
      </c>
      <c r="N157" s="79"/>
      <c r="O157" s="171">
        <f>'COUTS - ANNEXES'!$Q$22</f>
        <v>600</v>
      </c>
      <c r="P157" s="172"/>
      <c r="Q157" s="79"/>
      <c r="R157" s="171">
        <f>O157/$R$142</f>
        <v>10</v>
      </c>
      <c r="S157" s="172"/>
    </row>
    <row r="158" spans="2:20" x14ac:dyDescent="0.3">
      <c r="E158" s="234">
        <f>SUM(E155:F157)</f>
        <v>5100</v>
      </c>
      <c r="F158" s="235"/>
      <c r="H158" s="234">
        <f>SUM(H155:I157)</f>
        <v>85</v>
      </c>
      <c r="I158" s="235"/>
      <c r="K158" s="88"/>
      <c r="O158" s="234">
        <f>SUM(O155:P157)</f>
        <v>1800</v>
      </c>
      <c r="P158" s="235"/>
      <c r="R158" s="234">
        <f>SUM(R155:S157)</f>
        <v>30</v>
      </c>
      <c r="S158" s="235"/>
    </row>
    <row r="159" spans="2:20" ht="7.8" customHeight="1" x14ac:dyDescent="0.3">
      <c r="C159" s="32"/>
      <c r="K159" s="88"/>
      <c r="M159" s="32"/>
    </row>
    <row r="160" spans="2:20" x14ac:dyDescent="0.3">
      <c r="B160" s="233" t="s">
        <v>135</v>
      </c>
      <c r="C160" s="233"/>
      <c r="D160" s="233"/>
      <c r="E160" s="233"/>
      <c r="F160" s="233"/>
      <c r="G160" s="233"/>
      <c r="H160" s="233"/>
      <c r="I160" s="233"/>
      <c r="K160" s="88"/>
      <c r="L160" s="233" t="s">
        <v>135</v>
      </c>
      <c r="M160" s="233"/>
      <c r="N160" s="233"/>
      <c r="O160" s="233"/>
      <c r="P160" s="233"/>
      <c r="Q160" s="233"/>
      <c r="R160" s="233"/>
      <c r="S160" s="233"/>
    </row>
    <row r="161" spans="2:20" ht="4.8" customHeight="1" x14ac:dyDescent="0.3">
      <c r="C161" s="32"/>
      <c r="K161" s="88"/>
      <c r="M161" s="32"/>
    </row>
    <row r="162" spans="2:20" x14ac:dyDescent="0.3">
      <c r="B162" s="18" t="s">
        <v>157</v>
      </c>
      <c r="C162" s="14">
        <v>1</v>
      </c>
      <c r="D162" s="79"/>
      <c r="E162" s="171">
        <f>'COUTS - AGENCEMENT'!$Y$8</f>
        <v>800</v>
      </c>
      <c r="F162" s="172"/>
      <c r="G162" s="79"/>
      <c r="H162" s="171">
        <f>'COUTS - AGENCEMENT'!Z8</f>
        <v>9.5238095238095237</v>
      </c>
      <c r="I162" s="172"/>
      <c r="K162" s="88"/>
      <c r="L162" s="162"/>
      <c r="M162" s="163"/>
      <c r="N162" s="163"/>
      <c r="O162" s="163"/>
      <c r="P162" s="163"/>
      <c r="Q162" s="163"/>
      <c r="R162" s="163"/>
      <c r="T162" s="92"/>
    </row>
    <row r="163" spans="2:20" x14ac:dyDescent="0.3">
      <c r="B163" s="18" t="s">
        <v>158</v>
      </c>
      <c r="C163" s="14">
        <v>1</v>
      </c>
      <c r="D163" s="79"/>
      <c r="E163" s="171">
        <f>'COUTS - AGENCEMENT'!$AA$8</f>
        <v>1000</v>
      </c>
      <c r="F163" s="172"/>
      <c r="G163" s="79"/>
      <c r="H163" s="171">
        <f>'COUTS - AGENCEMENT'!AB8</f>
        <v>11.904761904761905</v>
      </c>
      <c r="I163" s="172"/>
      <c r="K163" s="88"/>
      <c r="L163" s="162"/>
      <c r="M163" s="163"/>
      <c r="N163" s="163"/>
      <c r="O163" s="163"/>
      <c r="P163" s="163"/>
      <c r="Q163" s="163"/>
      <c r="R163" s="163"/>
      <c r="T163" s="92"/>
    </row>
    <row r="164" spans="2:20" x14ac:dyDescent="0.3">
      <c r="B164" s="18" t="s">
        <v>159</v>
      </c>
      <c r="C164" s="14">
        <v>1</v>
      </c>
      <c r="D164" s="79"/>
      <c r="E164" s="171">
        <f>'COUTS - AGENCEMENT'!$AC$8</f>
        <v>1600</v>
      </c>
      <c r="F164" s="172"/>
      <c r="G164" s="79"/>
      <c r="H164" s="171">
        <f>'COUTS - AGENCEMENT'!AD8</f>
        <v>19.047619047619047</v>
      </c>
      <c r="I164" s="172"/>
      <c r="K164" s="88"/>
      <c r="L164" s="162"/>
      <c r="M164" s="163"/>
      <c r="N164" s="163"/>
      <c r="O164" s="163"/>
      <c r="P164" s="163"/>
      <c r="Q164" s="163"/>
      <c r="R164" s="163"/>
      <c r="T164" s="92"/>
    </row>
    <row r="165" spans="2:20" ht="4.8" customHeight="1" x14ac:dyDescent="0.3">
      <c r="K165" s="88"/>
    </row>
    <row r="166" spans="2:20" x14ac:dyDescent="0.3">
      <c r="B166" s="18" t="s">
        <v>168</v>
      </c>
      <c r="C166" s="161">
        <f>F9</f>
        <v>7</v>
      </c>
      <c r="D166" s="79"/>
      <c r="E166" s="234">
        <f>E163*C166</f>
        <v>7000</v>
      </c>
      <c r="F166" s="235"/>
      <c r="H166" s="234">
        <f>H163*C166</f>
        <v>83.333333333333343</v>
      </c>
      <c r="I166" s="235"/>
      <c r="K166" s="88"/>
      <c r="L166" s="167" t="s">
        <v>161</v>
      </c>
      <c r="M166" s="148">
        <f>P9</f>
        <v>2</v>
      </c>
      <c r="N166" s="79"/>
      <c r="O166" s="234">
        <f>M166*E162</f>
        <v>1600</v>
      </c>
      <c r="P166" s="235"/>
      <c r="R166" s="234">
        <f>M166*H162</f>
        <v>19.047619047619047</v>
      </c>
      <c r="S166" s="235"/>
      <c r="T166" s="92"/>
    </row>
    <row r="167" spans="2:20" x14ac:dyDescent="0.3">
      <c r="C167" s="32"/>
      <c r="K167" s="88"/>
      <c r="M167" s="32"/>
    </row>
    <row r="168" spans="2:20" x14ac:dyDescent="0.3">
      <c r="C168" s="81" t="s">
        <v>27</v>
      </c>
      <c r="E168" s="238">
        <f>SUM(E151,E158,E166)</f>
        <v>123100</v>
      </c>
      <c r="F168" s="239"/>
      <c r="H168" s="238">
        <f>SUM(H151,H158,H166)</f>
        <v>1968.3333333333333</v>
      </c>
      <c r="I168" s="239"/>
      <c r="K168" s="88"/>
      <c r="M168" s="81" t="s">
        <v>27</v>
      </c>
      <c r="O168" s="238">
        <f>SUM(O151,O158,O166)</f>
        <v>33400</v>
      </c>
      <c r="P168" s="239"/>
      <c r="R168" s="238">
        <f>SUM(R151,R158,R166)</f>
        <v>550.04761904761904</v>
      </c>
      <c r="S168" s="239"/>
      <c r="T168" s="136"/>
    </row>
    <row r="169" spans="2:20" ht="14.4" customHeight="1" x14ac:dyDescent="0.3">
      <c r="K169" s="88"/>
    </row>
    <row r="170" spans="2:20" ht="9" customHeight="1" x14ac:dyDescent="0.3">
      <c r="B170" s="103"/>
      <c r="C170" s="11"/>
      <c r="D170" s="11"/>
      <c r="E170" s="11"/>
      <c r="F170" s="11"/>
      <c r="G170" s="11"/>
      <c r="H170" s="11"/>
      <c r="I170" s="11"/>
      <c r="J170" s="11"/>
      <c r="K170" s="11"/>
      <c r="L170" s="103"/>
      <c r="M170" s="11"/>
      <c r="N170" s="11"/>
      <c r="O170" s="11"/>
      <c r="P170" s="11"/>
      <c r="Q170" s="11"/>
      <c r="R170" s="11"/>
      <c r="S170" s="11"/>
      <c r="T170" s="11"/>
    </row>
    <row r="171" spans="2:20" ht="29.4" customHeight="1" x14ac:dyDescent="0.3">
      <c r="B171" s="231" t="s">
        <v>162</v>
      </c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</row>
    <row r="172" spans="2:20" ht="7.8" customHeight="1" x14ac:dyDescent="0.3">
      <c r="K172" s="88"/>
    </row>
    <row r="173" spans="2:20" x14ac:dyDescent="0.3">
      <c r="B173" s="91" t="s">
        <v>165</v>
      </c>
      <c r="K173" s="88"/>
    </row>
    <row r="174" spans="2:20" ht="7.8" customHeight="1" x14ac:dyDescent="0.3">
      <c r="K174" s="88"/>
    </row>
    <row r="175" spans="2:20" x14ac:dyDescent="0.3">
      <c r="E175" s="187" t="s">
        <v>104</v>
      </c>
      <c r="F175" s="187"/>
      <c r="H175" s="2"/>
      <c r="K175" s="88"/>
      <c r="O175" s="187" t="s">
        <v>104</v>
      </c>
      <c r="P175" s="187"/>
      <c r="R175" s="2"/>
    </row>
    <row r="176" spans="2:20" x14ac:dyDescent="0.3">
      <c r="C176" s="82" t="s">
        <v>27</v>
      </c>
      <c r="E176" s="185">
        <f>E134-H168</f>
        <v>245.58119658119654</v>
      </c>
      <c r="F176" s="186"/>
      <c r="H176" s="2"/>
      <c r="K176" s="88"/>
      <c r="M176" s="82" t="s">
        <v>27</v>
      </c>
      <c r="O176" s="185">
        <f>O134-R168</f>
        <v>-875.95936555561775</v>
      </c>
      <c r="P176" s="186"/>
      <c r="R176" s="137"/>
    </row>
    <row r="177" spans="2:20" x14ac:dyDescent="0.3">
      <c r="C177" s="144" t="s">
        <v>139</v>
      </c>
      <c r="E177" s="256">
        <f>IF(E176&lt;0,("N/A"),(E176/E122))</f>
        <v>6.7578755250742029E-2</v>
      </c>
      <c r="F177" s="257"/>
      <c r="H177" s="2"/>
      <c r="K177" s="88"/>
      <c r="M177" s="144" t="s">
        <v>139</v>
      </c>
      <c r="O177" s="256" t="str">
        <f>IF(O176&lt;0,("N/A"),(O176/O122))</f>
        <v>N/A</v>
      </c>
      <c r="P177" s="257"/>
      <c r="R177" s="137"/>
    </row>
    <row r="178" spans="2:20" ht="14.4" customHeight="1" x14ac:dyDescent="0.3">
      <c r="K178" s="88"/>
    </row>
    <row r="179" spans="2:20" ht="9" customHeight="1" x14ac:dyDescent="0.3">
      <c r="B179" s="103"/>
      <c r="C179" s="11"/>
      <c r="D179" s="11"/>
      <c r="E179" s="11"/>
      <c r="F179" s="11"/>
      <c r="G179" s="11"/>
      <c r="H179" s="11"/>
      <c r="I179" s="11"/>
      <c r="J179" s="11"/>
      <c r="K179" s="11"/>
      <c r="L179" s="103"/>
      <c r="M179" s="11"/>
      <c r="N179" s="11"/>
      <c r="O179" s="11"/>
      <c r="P179" s="11"/>
      <c r="Q179" s="11"/>
      <c r="R179" s="11"/>
      <c r="S179" s="11"/>
      <c r="T179" s="11"/>
    </row>
    <row r="180" spans="2:20" ht="29.4" customHeight="1" x14ac:dyDescent="0.3">
      <c r="B180" s="169" t="s">
        <v>163</v>
      </c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</row>
    <row r="181" spans="2:20" ht="7.8" customHeight="1" x14ac:dyDescent="0.3">
      <c r="K181" s="88"/>
    </row>
    <row r="182" spans="2:20" x14ac:dyDescent="0.3">
      <c r="B182" s="91" t="s">
        <v>164</v>
      </c>
      <c r="K182" s="88"/>
    </row>
    <row r="183" spans="2:20" ht="7.8" customHeight="1" x14ac:dyDescent="0.3">
      <c r="K183" s="88"/>
    </row>
    <row r="184" spans="2:20" x14ac:dyDescent="0.3">
      <c r="E184" s="236">
        <f>E168/E176</f>
        <v>501.25987540458715</v>
      </c>
      <c r="F184" s="237"/>
      <c r="H184" s="1" t="s">
        <v>43</v>
      </c>
      <c r="K184" s="88"/>
      <c r="O184" s="236">
        <f>O168/O176</f>
        <v>-38.129622575374263</v>
      </c>
      <c r="P184" s="237"/>
      <c r="R184" s="1" t="s">
        <v>43</v>
      </c>
    </row>
    <row r="185" spans="2:20" x14ac:dyDescent="0.3">
      <c r="C185" s="121" t="s">
        <v>27</v>
      </c>
      <c r="E185" s="223">
        <f>E184/12</f>
        <v>41.771656283715593</v>
      </c>
      <c r="F185" s="224"/>
      <c r="H185" s="1" t="s">
        <v>120</v>
      </c>
      <c r="K185" s="88"/>
      <c r="M185" s="121" t="s">
        <v>27</v>
      </c>
      <c r="O185" s="223">
        <f>O184/12</f>
        <v>-3.1774685479478553</v>
      </c>
      <c r="P185" s="224"/>
      <c r="R185" s="1" t="s">
        <v>120</v>
      </c>
    </row>
    <row r="186" spans="2:20" x14ac:dyDescent="0.3">
      <c r="F186" s="92"/>
      <c r="K186" s="88"/>
    </row>
    <row r="187" spans="2:20" ht="9" customHeight="1" x14ac:dyDescent="0.3">
      <c r="B187" s="103"/>
      <c r="C187" s="11"/>
      <c r="D187" s="11"/>
      <c r="E187" s="11"/>
      <c r="F187" s="11"/>
      <c r="G187" s="11"/>
      <c r="H187" s="11"/>
      <c r="I187" s="11"/>
      <c r="J187" s="11"/>
      <c r="K187" s="11"/>
      <c r="L187" s="103"/>
      <c r="M187" s="11"/>
      <c r="N187" s="11"/>
      <c r="O187" s="11"/>
      <c r="P187" s="11"/>
      <c r="Q187" s="11"/>
      <c r="R187" s="11"/>
      <c r="S187" s="11"/>
      <c r="T187" s="11"/>
    </row>
  </sheetData>
  <mergeCells count="196">
    <mergeCell ref="V101:V114"/>
    <mergeCell ref="B13:C13"/>
    <mergeCell ref="L13:M13"/>
    <mergeCell ref="B4:T4"/>
    <mergeCell ref="B5:J5"/>
    <mergeCell ref="L5:T5"/>
    <mergeCell ref="B7:C7"/>
    <mergeCell ref="E7:F7"/>
    <mergeCell ref="H7:J7"/>
    <mergeCell ref="L7:M7"/>
    <mergeCell ref="O7:P7"/>
    <mergeCell ref="R7:T7"/>
    <mergeCell ref="E34:F34"/>
    <mergeCell ref="H34:I34"/>
    <mergeCell ref="O34:P34"/>
    <mergeCell ref="R34:S34"/>
    <mergeCell ref="E33:F33"/>
    <mergeCell ref="H33:I33"/>
    <mergeCell ref="O33:P33"/>
    <mergeCell ref="R33:S33"/>
    <mergeCell ref="B24:T24"/>
    <mergeCell ref="B25:T25"/>
    <mergeCell ref="C28:J29"/>
    <mergeCell ref="C31:D31"/>
    <mergeCell ref="B38:T38"/>
    <mergeCell ref="B39:T39"/>
    <mergeCell ref="C42:J44"/>
    <mergeCell ref="O42:P42"/>
    <mergeCell ref="O43:P43"/>
    <mergeCell ref="O44:P44"/>
    <mergeCell ref="E35:F35"/>
    <mergeCell ref="H35:I35"/>
    <mergeCell ref="O35:P35"/>
    <mergeCell ref="R35:S35"/>
    <mergeCell ref="E52:F52"/>
    <mergeCell ref="H52:I52"/>
    <mergeCell ref="O52:P52"/>
    <mergeCell ref="B55:T55"/>
    <mergeCell ref="E51:F51"/>
    <mergeCell ref="H51:I51"/>
    <mergeCell ref="O51:P51"/>
    <mergeCell ref="C46:C49"/>
    <mergeCell ref="O46:P46"/>
    <mergeCell ref="O47:P47"/>
    <mergeCell ref="O48:P48"/>
    <mergeCell ref="E50:F50"/>
    <mergeCell ref="H50:I50"/>
    <mergeCell ref="O50:P50"/>
    <mergeCell ref="O93:P93"/>
    <mergeCell ref="O94:P94"/>
    <mergeCell ref="O95:P95"/>
    <mergeCell ref="B98:T98"/>
    <mergeCell ref="B99:T99"/>
    <mergeCell ref="B56:T56"/>
    <mergeCell ref="C75:G75"/>
    <mergeCell ref="L75:N75"/>
    <mergeCell ref="L81:T82"/>
    <mergeCell ref="L84:T91"/>
    <mergeCell ref="E111:F111"/>
    <mergeCell ref="H111:I111"/>
    <mergeCell ref="O111:P111"/>
    <mergeCell ref="E112:F112"/>
    <mergeCell ref="H112:I112"/>
    <mergeCell ref="O112:P112"/>
    <mergeCell ref="L101:T106"/>
    <mergeCell ref="C102:J104"/>
    <mergeCell ref="C106:C110"/>
    <mergeCell ref="O108:P108"/>
    <mergeCell ref="O109:P109"/>
    <mergeCell ref="B117:E117"/>
    <mergeCell ref="L117:O117"/>
    <mergeCell ref="E119:F119"/>
    <mergeCell ref="H119:I119"/>
    <mergeCell ref="O119:P119"/>
    <mergeCell ref="R119:S119"/>
    <mergeCell ref="E113:F113"/>
    <mergeCell ref="H113:I113"/>
    <mergeCell ref="O113:P113"/>
    <mergeCell ref="B116:T116"/>
    <mergeCell ref="E122:F122"/>
    <mergeCell ref="H122:I122"/>
    <mergeCell ref="O122:P122"/>
    <mergeCell ref="R122:S122"/>
    <mergeCell ref="E121:F121"/>
    <mergeCell ref="H121:I121"/>
    <mergeCell ref="O121:P121"/>
    <mergeCell ref="R121:S121"/>
    <mergeCell ref="E120:F120"/>
    <mergeCell ref="H120:I120"/>
    <mergeCell ref="O120:P120"/>
    <mergeCell ref="R120:S120"/>
    <mergeCell ref="E129:F129"/>
    <mergeCell ref="O129:P129"/>
    <mergeCell ref="E131:F131"/>
    <mergeCell ref="H131:I131"/>
    <mergeCell ref="O131:P131"/>
    <mergeCell ref="R131:S131"/>
    <mergeCell ref="B125:T125"/>
    <mergeCell ref="E127:F127"/>
    <mergeCell ref="O127:P127"/>
    <mergeCell ref="E128:F128"/>
    <mergeCell ref="O128:P128"/>
    <mergeCell ref="E134:F134"/>
    <mergeCell ref="H134:I134"/>
    <mergeCell ref="O134:P134"/>
    <mergeCell ref="R134:S134"/>
    <mergeCell ref="E133:F133"/>
    <mergeCell ref="H133:I133"/>
    <mergeCell ref="O133:P133"/>
    <mergeCell ref="R133:S133"/>
    <mergeCell ref="E132:F132"/>
    <mergeCell ref="H132:I132"/>
    <mergeCell ref="O132:P132"/>
    <mergeCell ref="R132:S132"/>
    <mergeCell ref="E142:F142"/>
    <mergeCell ref="O142:P142"/>
    <mergeCell ref="E144:F144"/>
    <mergeCell ref="H144:I144"/>
    <mergeCell ref="O144:P144"/>
    <mergeCell ref="R144:S144"/>
    <mergeCell ref="B137:T137"/>
    <mergeCell ref="B139:I139"/>
    <mergeCell ref="L139:S139"/>
    <mergeCell ref="E141:F141"/>
    <mergeCell ref="H141:I141"/>
    <mergeCell ref="O141:P141"/>
    <mergeCell ref="R141:S141"/>
    <mergeCell ref="E148:F148"/>
    <mergeCell ref="H148:I148"/>
    <mergeCell ref="O148:P148"/>
    <mergeCell ref="R148:S148"/>
    <mergeCell ref="B145:I145"/>
    <mergeCell ref="L145:S145"/>
    <mergeCell ref="E147:F147"/>
    <mergeCell ref="H147:I147"/>
    <mergeCell ref="O147:P147"/>
    <mergeCell ref="R147:S147"/>
    <mergeCell ref="E151:F151"/>
    <mergeCell ref="H151:I151"/>
    <mergeCell ref="O151:P151"/>
    <mergeCell ref="R151:S151"/>
    <mergeCell ref="E150:F150"/>
    <mergeCell ref="H150:I150"/>
    <mergeCell ref="O150:P150"/>
    <mergeCell ref="R150:S150"/>
    <mergeCell ref="E149:F149"/>
    <mergeCell ref="H149:I149"/>
    <mergeCell ref="O149:P149"/>
    <mergeCell ref="R149:S149"/>
    <mergeCell ref="E156:F156"/>
    <mergeCell ref="H156:I156"/>
    <mergeCell ref="O156:P156"/>
    <mergeCell ref="R156:S156"/>
    <mergeCell ref="B153:I153"/>
    <mergeCell ref="L153:S153"/>
    <mergeCell ref="E155:F155"/>
    <mergeCell ref="H155:I155"/>
    <mergeCell ref="O155:P155"/>
    <mergeCell ref="R155:S155"/>
    <mergeCell ref="R166:S166"/>
    <mergeCell ref="B160:I160"/>
    <mergeCell ref="L160:S160"/>
    <mergeCell ref="E162:F162"/>
    <mergeCell ref="H162:I162"/>
    <mergeCell ref="E157:F157"/>
    <mergeCell ref="H157:I157"/>
    <mergeCell ref="O157:P157"/>
    <mergeCell ref="R157:S157"/>
    <mergeCell ref="E158:F158"/>
    <mergeCell ref="H158:I158"/>
    <mergeCell ref="O158:P158"/>
    <mergeCell ref="R158:S158"/>
    <mergeCell ref="E185:F185"/>
    <mergeCell ref="O185:P185"/>
    <mergeCell ref="H163:I163"/>
    <mergeCell ref="C58:T60"/>
    <mergeCell ref="E177:F177"/>
    <mergeCell ref="O177:P177"/>
    <mergeCell ref="B180:T180"/>
    <mergeCell ref="E184:F184"/>
    <mergeCell ref="O184:P184"/>
    <mergeCell ref="B171:T171"/>
    <mergeCell ref="E175:F175"/>
    <mergeCell ref="O175:P175"/>
    <mergeCell ref="E176:F176"/>
    <mergeCell ref="O176:P176"/>
    <mergeCell ref="E168:F168"/>
    <mergeCell ref="H168:I168"/>
    <mergeCell ref="O168:P168"/>
    <mergeCell ref="R168:S168"/>
    <mergeCell ref="E163:F163"/>
    <mergeCell ref="E164:F164"/>
    <mergeCell ref="H164:I164"/>
    <mergeCell ref="E166:F166"/>
    <mergeCell ref="H166:I166"/>
    <mergeCell ref="O166:P166"/>
  </mergeCells>
  <conditionalFormatting sqref="O42:O43">
    <cfRule type="cellIs" dxfId="6" priority="6" operator="greaterThan">
      <formula>0</formula>
    </cfRule>
  </conditionalFormatting>
  <conditionalFormatting sqref="O42:O44">
    <cfRule type="cellIs" dxfId="5" priority="5" operator="lessThan">
      <formula>0</formula>
    </cfRule>
  </conditionalFormatting>
  <conditionalFormatting sqref="O44">
    <cfRule type="cellIs" dxfId="4" priority="7" stopIfTrue="1" operator="greaterThan">
      <formula>0</formula>
    </cfRule>
  </conditionalFormatting>
  <conditionalFormatting sqref="O46:O48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O10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42F5-8AA5-4286-A4AB-4113CDC8D72F}">
  <sheetPr>
    <tabColor rgb="FFFFC000"/>
  </sheetPr>
  <dimension ref="B1:Y36"/>
  <sheetViews>
    <sheetView showGridLines="0" zoomScaleNormal="100" workbookViewId="0"/>
  </sheetViews>
  <sheetFormatPr baseColWidth="10" defaultColWidth="11.44140625" defaultRowHeight="14.4" x14ac:dyDescent="0.3"/>
  <cols>
    <col min="1" max="1" width="1.44140625" style="1" customWidth="1"/>
    <col min="2" max="2" width="4.77734375" style="32" customWidth="1"/>
    <col min="3" max="4" width="5" style="1" customWidth="1"/>
    <col min="5" max="6" width="9.77734375" style="1" customWidth="1"/>
    <col min="7" max="7" width="20.88671875" style="1" customWidth="1"/>
    <col min="8" max="8" width="3.33203125" style="1" customWidth="1"/>
    <col min="9" max="9" width="4.77734375" style="32" customWidth="1"/>
    <col min="10" max="11" width="5" style="1" customWidth="1"/>
    <col min="12" max="14" width="9.77734375" style="1" customWidth="1"/>
    <col min="15" max="15" width="20.88671875" style="1" customWidth="1"/>
    <col min="16" max="16" width="3.33203125" style="1" customWidth="1"/>
    <col min="17" max="17" width="4.77734375" style="32" customWidth="1"/>
    <col min="18" max="19" width="5" style="1" customWidth="1"/>
    <col min="20" max="22" width="9.77734375" style="1" customWidth="1"/>
    <col min="23" max="23" width="20.88671875" style="1" customWidth="1"/>
    <col min="24" max="24" width="1.6640625" style="1" customWidth="1"/>
    <col min="25" max="16384" width="11.44140625" style="1"/>
  </cols>
  <sheetData>
    <row r="1" spans="2:25" ht="8.5500000000000007" customHeight="1" x14ac:dyDescent="0.3"/>
    <row r="2" spans="2:25" ht="37.950000000000003" customHeight="1" x14ac:dyDescent="0.3">
      <c r="B2" s="76" t="s">
        <v>40</v>
      </c>
      <c r="C2" s="12"/>
      <c r="D2" s="10"/>
      <c r="E2" s="11"/>
      <c r="F2" s="10"/>
      <c r="G2" s="10"/>
      <c r="H2" s="13"/>
      <c r="I2" s="13"/>
      <c r="J2" s="12"/>
      <c r="K2" s="10"/>
      <c r="L2" s="11"/>
      <c r="M2" s="11"/>
      <c r="N2" s="10"/>
      <c r="O2" s="10"/>
      <c r="P2" s="13"/>
      <c r="Q2" s="13"/>
      <c r="R2" s="12"/>
      <c r="S2" s="10"/>
      <c r="T2" s="11"/>
      <c r="U2" s="11"/>
      <c r="V2" s="10"/>
      <c r="W2" s="10"/>
      <c r="Y2" s="7" t="s">
        <v>64</v>
      </c>
    </row>
    <row r="3" spans="2:25" ht="8.5500000000000007" customHeight="1" x14ac:dyDescent="0.3"/>
    <row r="4" spans="2:25" ht="15.6" x14ac:dyDescent="0.3">
      <c r="B4" s="267" t="s">
        <v>123</v>
      </c>
      <c r="C4" s="267"/>
      <c r="D4" s="267"/>
      <c r="E4" s="267"/>
      <c r="F4" s="267"/>
      <c r="G4" s="267"/>
      <c r="I4" s="267" t="s">
        <v>124</v>
      </c>
      <c r="J4" s="267"/>
      <c r="K4" s="267"/>
      <c r="L4" s="267"/>
      <c r="M4" s="267"/>
      <c r="N4" s="267"/>
      <c r="O4" s="267"/>
      <c r="Q4" s="267" t="s">
        <v>129</v>
      </c>
      <c r="R4" s="267"/>
      <c r="S4" s="267"/>
      <c r="T4" s="267"/>
      <c r="U4" s="267"/>
      <c r="V4" s="267"/>
      <c r="W4" s="267"/>
    </row>
    <row r="5" spans="2:25" ht="8.5500000000000007" customHeight="1" x14ac:dyDescent="0.3"/>
    <row r="6" spans="2:25" ht="14.4" customHeight="1" x14ac:dyDescent="0.3">
      <c r="C6" s="271" t="s">
        <v>41</v>
      </c>
      <c r="D6" s="272"/>
      <c r="E6" s="272"/>
      <c r="F6" s="272"/>
      <c r="G6" s="273"/>
      <c r="J6" s="271" t="s">
        <v>42</v>
      </c>
      <c r="K6" s="272"/>
      <c r="L6" s="272"/>
      <c r="M6" s="272"/>
      <c r="N6" s="272"/>
      <c r="O6" s="273"/>
      <c r="R6" s="271" t="s">
        <v>19</v>
      </c>
      <c r="S6" s="272"/>
      <c r="T6" s="272"/>
      <c r="U6" s="272"/>
      <c r="V6" s="272"/>
      <c r="W6" s="273"/>
    </row>
    <row r="7" spans="2:25" ht="14.4" customHeight="1" x14ac:dyDescent="0.3">
      <c r="B7" s="27"/>
      <c r="C7" s="19">
        <v>60</v>
      </c>
      <c r="D7" s="19" t="s">
        <v>43</v>
      </c>
      <c r="E7" s="122" t="s">
        <v>121</v>
      </c>
      <c r="F7" s="127" t="s">
        <v>65</v>
      </c>
      <c r="G7" s="268" t="s">
        <v>125</v>
      </c>
      <c r="I7" s="27"/>
      <c r="J7" s="19">
        <v>60</v>
      </c>
      <c r="K7" s="19" t="s">
        <v>43</v>
      </c>
      <c r="L7" s="124" t="s">
        <v>27</v>
      </c>
      <c r="M7" s="122" t="s">
        <v>121</v>
      </c>
      <c r="N7" s="122" t="s">
        <v>122</v>
      </c>
      <c r="O7" s="130">
        <v>0.2</v>
      </c>
      <c r="Q7" s="27"/>
      <c r="R7" s="19">
        <v>60</v>
      </c>
      <c r="S7" s="19" t="s">
        <v>43</v>
      </c>
      <c r="T7" s="124" t="s">
        <v>27</v>
      </c>
      <c r="U7" s="122" t="s">
        <v>121</v>
      </c>
      <c r="V7" s="122" t="s">
        <v>122</v>
      </c>
      <c r="W7" s="130">
        <v>0.2</v>
      </c>
    </row>
    <row r="8" spans="2:25" ht="14.4" customHeight="1" x14ac:dyDescent="0.3">
      <c r="B8" s="27"/>
      <c r="C8" s="29">
        <v>1</v>
      </c>
      <c r="D8" s="29" t="s">
        <v>45</v>
      </c>
      <c r="E8" s="30">
        <v>500</v>
      </c>
      <c r="F8" s="128">
        <f>E8/$C$7</f>
        <v>8.3333333333333339</v>
      </c>
      <c r="G8" s="269"/>
      <c r="I8" s="27"/>
      <c r="J8" s="29">
        <v>1</v>
      </c>
      <c r="K8" s="29" t="s">
        <v>46</v>
      </c>
      <c r="L8" s="125">
        <f>N8*$J$7</f>
        <v>15000</v>
      </c>
      <c r="M8" s="30">
        <f>L8-(L8*$O$7)</f>
        <v>12000</v>
      </c>
      <c r="N8" s="31">
        <v>250</v>
      </c>
      <c r="O8" s="268" t="s">
        <v>128</v>
      </c>
      <c r="Q8" s="27"/>
      <c r="R8" s="29">
        <v>1</v>
      </c>
      <c r="S8" s="29" t="s">
        <v>47</v>
      </c>
      <c r="T8" s="125">
        <f>V8*$R$7</f>
        <v>27000</v>
      </c>
      <c r="U8" s="30">
        <f>T8-(T8*$W$7)</f>
        <v>21600</v>
      </c>
      <c r="V8" s="31">
        <v>450</v>
      </c>
      <c r="W8" s="268" t="s">
        <v>128</v>
      </c>
    </row>
    <row r="9" spans="2:25" x14ac:dyDescent="0.3">
      <c r="B9" s="27"/>
      <c r="C9" s="20">
        <v>2</v>
      </c>
      <c r="D9" s="20" t="s">
        <v>45</v>
      </c>
      <c r="E9" s="21">
        <f>$E$8*C9</f>
        <v>1000</v>
      </c>
      <c r="F9" s="129">
        <f>E9/$C$7</f>
        <v>16.666666666666668</v>
      </c>
      <c r="G9" s="269"/>
      <c r="I9" s="27"/>
      <c r="J9" s="20">
        <v>2</v>
      </c>
      <c r="K9" s="20" t="s">
        <v>46</v>
      </c>
      <c r="L9" s="126">
        <f>N9*$J$7</f>
        <v>30000</v>
      </c>
      <c r="M9" s="21">
        <f>L9-(L9*$O$7)</f>
        <v>24000</v>
      </c>
      <c r="N9" s="22">
        <f>$N$8*J9</f>
        <v>500</v>
      </c>
      <c r="O9" s="269"/>
      <c r="Q9" s="27"/>
      <c r="R9" s="20">
        <v>2</v>
      </c>
      <c r="S9" s="20" t="s">
        <v>47</v>
      </c>
      <c r="T9" s="126">
        <f>V9*$R$7</f>
        <v>54000</v>
      </c>
      <c r="U9" s="21">
        <f>T9-(T9*$W$7)</f>
        <v>43200</v>
      </c>
      <c r="V9" s="22">
        <f>$V$8*R9</f>
        <v>900</v>
      </c>
      <c r="W9" s="269"/>
    </row>
    <row r="10" spans="2:25" x14ac:dyDescent="0.3">
      <c r="B10" s="27"/>
      <c r="C10" s="20">
        <v>3</v>
      </c>
      <c r="D10" s="20" t="s">
        <v>45</v>
      </c>
      <c r="E10" s="21">
        <f>$E$8*C10</f>
        <v>1500</v>
      </c>
      <c r="F10" s="129">
        <f>E10/$C$7</f>
        <v>25</v>
      </c>
      <c r="G10" s="269"/>
      <c r="I10" s="27"/>
      <c r="J10" s="20">
        <v>3</v>
      </c>
      <c r="K10" s="20" t="s">
        <v>46</v>
      </c>
      <c r="L10" s="126">
        <f>N10*$J$7</f>
        <v>45000</v>
      </c>
      <c r="M10" s="21">
        <f>L10-(L10*$O$7)</f>
        <v>36000</v>
      </c>
      <c r="N10" s="22">
        <f>$N$8*J10</f>
        <v>750</v>
      </c>
      <c r="O10" s="269"/>
      <c r="Q10" s="27"/>
      <c r="R10" s="20">
        <v>3</v>
      </c>
      <c r="S10" s="20" t="s">
        <v>47</v>
      </c>
      <c r="T10" s="126">
        <f>V10*$R$7</f>
        <v>81000</v>
      </c>
      <c r="U10" s="21">
        <f>T10-(T10*$W$7)</f>
        <v>64800</v>
      </c>
      <c r="V10" s="22">
        <f t="shared" ref="V10:V11" si="0">$V$8*R10</f>
        <v>1350</v>
      </c>
      <c r="W10" s="269"/>
    </row>
    <row r="11" spans="2:25" x14ac:dyDescent="0.3">
      <c r="B11" s="27"/>
      <c r="C11" s="20">
        <v>4</v>
      </c>
      <c r="D11" s="20" t="s">
        <v>45</v>
      </c>
      <c r="E11" s="21">
        <f>$E$8*C11</f>
        <v>2000</v>
      </c>
      <c r="F11" s="129">
        <f>E11/$C$7</f>
        <v>33.333333333333336</v>
      </c>
      <c r="G11" s="270"/>
      <c r="I11" s="27"/>
      <c r="J11" s="20">
        <v>4</v>
      </c>
      <c r="K11" s="20" t="s">
        <v>46</v>
      </c>
      <c r="L11" s="126">
        <f>N11*$J$7</f>
        <v>60000</v>
      </c>
      <c r="M11" s="21">
        <f>L11-(L11*$O$7)</f>
        <v>48000</v>
      </c>
      <c r="N11" s="22">
        <f>$N$8*J11</f>
        <v>1000</v>
      </c>
      <c r="O11" s="270"/>
      <c r="Q11" s="27"/>
      <c r="R11" s="20">
        <v>4</v>
      </c>
      <c r="S11" s="20" t="s">
        <v>47</v>
      </c>
      <c r="T11" s="126">
        <f>V11*$R$7</f>
        <v>108000</v>
      </c>
      <c r="U11" s="21">
        <f>T11-(T11*$W$7)</f>
        <v>86400</v>
      </c>
      <c r="V11" s="22">
        <f t="shared" si="0"/>
        <v>1800</v>
      </c>
      <c r="W11" s="270"/>
    </row>
    <row r="12" spans="2:25" ht="8.5500000000000007" customHeight="1" x14ac:dyDescent="0.3"/>
    <row r="13" spans="2:25" ht="14.4" customHeight="1" x14ac:dyDescent="0.3">
      <c r="C13" s="271" t="s">
        <v>48</v>
      </c>
      <c r="D13" s="272"/>
      <c r="E13" s="272"/>
      <c r="F13" s="272"/>
      <c r="G13" s="273"/>
      <c r="J13" s="271" t="s">
        <v>48</v>
      </c>
      <c r="K13" s="272"/>
      <c r="L13" s="272"/>
      <c r="M13" s="272"/>
      <c r="N13" s="272"/>
      <c r="O13" s="273"/>
      <c r="R13" s="271" t="s">
        <v>20</v>
      </c>
      <c r="S13" s="272"/>
      <c r="T13" s="272"/>
      <c r="U13" s="272"/>
      <c r="V13" s="272"/>
      <c r="W13" s="273"/>
    </row>
    <row r="14" spans="2:25" ht="14.4" customHeight="1" x14ac:dyDescent="0.3">
      <c r="C14" s="19">
        <v>60</v>
      </c>
      <c r="D14" s="19" t="s">
        <v>43</v>
      </c>
      <c r="E14" s="122" t="s">
        <v>121</v>
      </c>
      <c r="F14" s="127" t="s">
        <v>65</v>
      </c>
      <c r="G14" s="268" t="s">
        <v>125</v>
      </c>
      <c r="J14" s="19">
        <v>60</v>
      </c>
      <c r="K14" s="19" t="s">
        <v>43</v>
      </c>
      <c r="L14" s="124" t="s">
        <v>27</v>
      </c>
      <c r="M14" s="122" t="s">
        <v>121</v>
      </c>
      <c r="N14" s="122" t="s">
        <v>122</v>
      </c>
      <c r="O14" s="130">
        <v>0.2</v>
      </c>
      <c r="R14" s="19">
        <v>60</v>
      </c>
      <c r="S14" s="19" t="s">
        <v>43</v>
      </c>
      <c r="T14" s="124" t="s">
        <v>27</v>
      </c>
      <c r="U14" s="122" t="s">
        <v>121</v>
      </c>
      <c r="V14" s="122" t="s">
        <v>122</v>
      </c>
      <c r="W14" s="130">
        <v>0.2</v>
      </c>
    </row>
    <row r="15" spans="2:25" ht="14.4" customHeight="1" x14ac:dyDescent="0.3">
      <c r="C15" s="29">
        <v>1</v>
      </c>
      <c r="D15" s="29" t="s">
        <v>49</v>
      </c>
      <c r="E15" s="30">
        <v>800</v>
      </c>
      <c r="F15" s="128">
        <f>E15/$C$14</f>
        <v>13.333333333333334</v>
      </c>
      <c r="G15" s="269"/>
      <c r="J15" s="29">
        <v>1</v>
      </c>
      <c r="K15" s="29" t="s">
        <v>49</v>
      </c>
      <c r="L15" s="125">
        <v>800</v>
      </c>
      <c r="M15" s="30">
        <f>L15-(L15*$O$14)</f>
        <v>640</v>
      </c>
      <c r="N15" s="31">
        <f>L15/$J$14</f>
        <v>13.333333333333334</v>
      </c>
      <c r="O15" s="268" t="s">
        <v>128</v>
      </c>
      <c r="R15" s="29">
        <v>1</v>
      </c>
      <c r="S15" s="29" t="s">
        <v>47</v>
      </c>
      <c r="T15" s="125">
        <f>V15*$R$14</f>
        <v>24000</v>
      </c>
      <c r="U15" s="30">
        <f>T15-(T15*$W$14)</f>
        <v>19200</v>
      </c>
      <c r="V15" s="31">
        <v>400</v>
      </c>
      <c r="W15" s="268" t="s">
        <v>128</v>
      </c>
    </row>
    <row r="16" spans="2:25" x14ac:dyDescent="0.3">
      <c r="C16" s="20">
        <v>2</v>
      </c>
      <c r="D16" s="20" t="s">
        <v>49</v>
      </c>
      <c r="E16" s="21">
        <f>$E$15*C16</f>
        <v>1600</v>
      </c>
      <c r="F16" s="129">
        <f>E16/$C$14</f>
        <v>26.666666666666668</v>
      </c>
      <c r="G16" s="269"/>
      <c r="J16" s="20">
        <v>2</v>
      </c>
      <c r="K16" s="20" t="s">
        <v>49</v>
      </c>
      <c r="L16" s="126">
        <f>$L$15*J16</f>
        <v>1600</v>
      </c>
      <c r="M16" s="21">
        <f>L16-(L16*$O$14)</f>
        <v>1280</v>
      </c>
      <c r="N16" s="22">
        <f t="shared" ref="N16:N18" si="1">L16/$J$14</f>
        <v>26.666666666666668</v>
      </c>
      <c r="O16" s="269"/>
      <c r="R16" s="20">
        <v>2</v>
      </c>
      <c r="S16" s="20" t="s">
        <v>47</v>
      </c>
      <c r="T16" s="126">
        <f>V16*$R$14</f>
        <v>48000</v>
      </c>
      <c r="U16" s="21">
        <f>T16-(T16*$W$14)</f>
        <v>38400</v>
      </c>
      <c r="V16" s="22">
        <f>$V$15*R16</f>
        <v>800</v>
      </c>
      <c r="W16" s="269"/>
    </row>
    <row r="17" spans="3:23" x14ac:dyDescent="0.3">
      <c r="C17" s="20">
        <v>3</v>
      </c>
      <c r="D17" s="20" t="s">
        <v>49</v>
      </c>
      <c r="E17" s="21">
        <f>$E$15*C17</f>
        <v>2400</v>
      </c>
      <c r="F17" s="129">
        <f>E17/$C$14</f>
        <v>40</v>
      </c>
      <c r="G17" s="269"/>
      <c r="J17" s="20">
        <v>3</v>
      </c>
      <c r="K17" s="20" t="s">
        <v>49</v>
      </c>
      <c r="L17" s="126">
        <f t="shared" ref="L17:L18" si="2">$L$15*J17</f>
        <v>2400</v>
      </c>
      <c r="M17" s="21">
        <f>L17-(L17*$O$14)</f>
        <v>1920</v>
      </c>
      <c r="N17" s="22">
        <f t="shared" si="1"/>
        <v>40</v>
      </c>
      <c r="O17" s="269"/>
      <c r="R17" s="20">
        <v>3</v>
      </c>
      <c r="S17" s="20" t="s">
        <v>47</v>
      </c>
      <c r="T17" s="126">
        <f>V17*$R$14</f>
        <v>72000</v>
      </c>
      <c r="U17" s="21">
        <f>T17-(T17*$W$14)</f>
        <v>57600</v>
      </c>
      <c r="V17" s="22">
        <f t="shared" ref="V17:V18" si="3">$V$15*R17</f>
        <v>1200</v>
      </c>
      <c r="W17" s="269"/>
    </row>
    <row r="18" spans="3:23" x14ac:dyDescent="0.3">
      <c r="C18" s="20">
        <v>4</v>
      </c>
      <c r="D18" s="20" t="s">
        <v>49</v>
      </c>
      <c r="E18" s="21">
        <f>$E$15*C18</f>
        <v>3200</v>
      </c>
      <c r="F18" s="129">
        <f>E18/$C$14</f>
        <v>53.333333333333336</v>
      </c>
      <c r="G18" s="270"/>
      <c r="J18" s="20">
        <v>4</v>
      </c>
      <c r="K18" s="20" t="s">
        <v>49</v>
      </c>
      <c r="L18" s="126">
        <f t="shared" si="2"/>
        <v>3200</v>
      </c>
      <c r="M18" s="21">
        <f>L18-(L18*$O$14)</f>
        <v>2560</v>
      </c>
      <c r="N18" s="22">
        <f t="shared" si="1"/>
        <v>53.333333333333336</v>
      </c>
      <c r="O18" s="270"/>
      <c r="R18" s="20">
        <v>4</v>
      </c>
      <c r="S18" s="20" t="s">
        <v>47</v>
      </c>
      <c r="T18" s="126">
        <f>V18*$R$14</f>
        <v>96000</v>
      </c>
      <c r="U18" s="21">
        <f>T18-(T18*$W$14)</f>
        <v>76800</v>
      </c>
      <c r="V18" s="22">
        <f t="shared" si="3"/>
        <v>1600</v>
      </c>
      <c r="W18" s="270"/>
    </row>
    <row r="19" spans="3:23" ht="8.5500000000000007" customHeight="1" x14ac:dyDescent="0.3">
      <c r="W19" s="133"/>
    </row>
    <row r="20" spans="3:23" ht="14.4" customHeight="1" x14ac:dyDescent="0.3">
      <c r="C20" s="271" t="s">
        <v>130</v>
      </c>
      <c r="D20" s="272"/>
      <c r="E20" s="272"/>
      <c r="F20" s="272"/>
      <c r="G20" s="273"/>
      <c r="J20" s="271" t="s">
        <v>130</v>
      </c>
      <c r="K20" s="272"/>
      <c r="L20" s="272"/>
      <c r="M20" s="272"/>
      <c r="N20" s="272"/>
      <c r="O20" s="273"/>
      <c r="R20" s="271" t="s">
        <v>50</v>
      </c>
      <c r="S20" s="272"/>
      <c r="T20" s="272"/>
      <c r="U20" s="272"/>
      <c r="V20" s="272"/>
      <c r="W20" s="273"/>
    </row>
    <row r="21" spans="3:23" x14ac:dyDescent="0.3">
      <c r="C21" s="19">
        <v>60</v>
      </c>
      <c r="D21" s="19" t="s">
        <v>43</v>
      </c>
      <c r="E21" s="123" t="s">
        <v>27</v>
      </c>
      <c r="F21" s="127" t="s">
        <v>65</v>
      </c>
      <c r="G21" s="274" t="s">
        <v>126</v>
      </c>
      <c r="J21" s="19">
        <v>60</v>
      </c>
      <c r="K21" s="19" t="s">
        <v>43</v>
      </c>
      <c r="M21" s="123" t="s">
        <v>27</v>
      </c>
      <c r="N21" s="127" t="s">
        <v>65</v>
      </c>
      <c r="O21" s="274" t="s">
        <v>126</v>
      </c>
      <c r="R21" s="132">
        <v>60</v>
      </c>
      <c r="S21" s="132" t="s">
        <v>43</v>
      </c>
      <c r="U21" s="123" t="s">
        <v>27</v>
      </c>
      <c r="V21" s="127" t="s">
        <v>65</v>
      </c>
      <c r="W21" s="274" t="s">
        <v>126</v>
      </c>
    </row>
    <row r="22" spans="3:23" x14ac:dyDescent="0.3">
      <c r="C22" s="29">
        <v>1</v>
      </c>
      <c r="D22" s="29" t="s">
        <v>51</v>
      </c>
      <c r="E22" s="35">
        <f>F22*$C$21</f>
        <v>3000</v>
      </c>
      <c r="F22" s="128">
        <v>50</v>
      </c>
      <c r="G22" s="275"/>
      <c r="J22" s="29">
        <v>1</v>
      </c>
      <c r="K22" s="29" t="s">
        <v>51</v>
      </c>
      <c r="M22" s="131">
        <f>N22*$J$21</f>
        <v>3000</v>
      </c>
      <c r="N22" s="31">
        <v>50</v>
      </c>
      <c r="O22" s="275"/>
      <c r="R22" s="29">
        <v>1</v>
      </c>
      <c r="S22" s="29" t="s">
        <v>51</v>
      </c>
      <c r="U22" s="35" t="s">
        <v>52</v>
      </c>
      <c r="V22" s="35" t="s">
        <v>52</v>
      </c>
      <c r="W22" s="275"/>
    </row>
    <row r="23" spans="3:23" ht="8.5500000000000007" customHeight="1" x14ac:dyDescent="0.3"/>
    <row r="24" spans="3:23" ht="14.4" customHeight="1" x14ac:dyDescent="0.3">
      <c r="C24" s="271" t="s">
        <v>53</v>
      </c>
      <c r="D24" s="272"/>
      <c r="E24" s="272"/>
      <c r="F24" s="272"/>
      <c r="G24" s="273"/>
      <c r="J24" s="271" t="s">
        <v>53</v>
      </c>
      <c r="K24" s="272"/>
      <c r="L24" s="272"/>
      <c r="M24" s="272"/>
      <c r="N24" s="272"/>
      <c r="O24" s="273"/>
      <c r="R24" s="271" t="s">
        <v>53</v>
      </c>
      <c r="S24" s="272"/>
      <c r="T24" s="272"/>
      <c r="U24" s="272"/>
      <c r="V24" s="272"/>
      <c r="W24" s="273"/>
    </row>
    <row r="25" spans="3:23" x14ac:dyDescent="0.3">
      <c r="C25" s="19">
        <v>60</v>
      </c>
      <c r="D25" s="19" t="s">
        <v>43</v>
      </c>
      <c r="E25" s="123" t="s">
        <v>27</v>
      </c>
      <c r="F25" s="127" t="s">
        <v>65</v>
      </c>
      <c r="G25" s="274" t="s">
        <v>127</v>
      </c>
      <c r="J25" s="19">
        <v>60</v>
      </c>
      <c r="K25" s="19" t="s">
        <v>43</v>
      </c>
      <c r="M25" s="123" t="s">
        <v>27</v>
      </c>
      <c r="N25" s="127" t="s">
        <v>65</v>
      </c>
      <c r="O25" s="274" t="s">
        <v>127</v>
      </c>
      <c r="R25" s="132">
        <v>60</v>
      </c>
      <c r="S25" s="132" t="s">
        <v>43</v>
      </c>
      <c r="U25" s="123" t="s">
        <v>27</v>
      </c>
      <c r="V25" s="127" t="s">
        <v>65</v>
      </c>
      <c r="W25" s="274" t="s">
        <v>127</v>
      </c>
    </row>
    <row r="26" spans="3:23" x14ac:dyDescent="0.3">
      <c r="C26" s="29">
        <v>1</v>
      </c>
      <c r="D26" s="29" t="s">
        <v>54</v>
      </c>
      <c r="E26" s="35">
        <v>1000</v>
      </c>
      <c r="F26" s="128">
        <f>E26/$C$25</f>
        <v>16.666666666666668</v>
      </c>
      <c r="G26" s="275"/>
      <c r="J26" s="29">
        <v>1</v>
      </c>
      <c r="K26" s="29" t="s">
        <v>54</v>
      </c>
      <c r="M26" s="131">
        <v>2000</v>
      </c>
      <c r="N26" s="31">
        <f>M26/$J$25</f>
        <v>33.333333333333336</v>
      </c>
      <c r="O26" s="275"/>
      <c r="R26" s="29">
        <v>1</v>
      </c>
      <c r="S26" s="29" t="s">
        <v>54</v>
      </c>
      <c r="U26" s="35">
        <v>3000</v>
      </c>
      <c r="V26" s="31">
        <f>U26/$R$25</f>
        <v>50</v>
      </c>
      <c r="W26" s="275"/>
    </row>
    <row r="27" spans="3:23" ht="8.5500000000000007" customHeight="1" thickBot="1" x14ac:dyDescent="0.35"/>
    <row r="28" spans="3:23" ht="15" thickBot="1" x14ac:dyDescent="0.35">
      <c r="C28" s="265" t="s">
        <v>27</v>
      </c>
      <c r="D28" s="266"/>
      <c r="E28" s="36">
        <f>SUM(E8,E15,E22,E26)</f>
        <v>5300</v>
      </c>
      <c r="F28" s="37">
        <f>SUM(F8,F15,F22,F26)</f>
        <v>88.333333333333343</v>
      </c>
      <c r="J28" s="265" t="s">
        <v>27</v>
      </c>
      <c r="K28" s="266"/>
      <c r="L28" s="36"/>
      <c r="M28" s="36">
        <f>SUM(M8,M15,M22,M26)</f>
        <v>17640</v>
      </c>
      <c r="N28" s="37">
        <f>SUM(N8,N15,N22,N26)</f>
        <v>346.66666666666663</v>
      </c>
      <c r="R28" s="265" t="s">
        <v>27</v>
      </c>
      <c r="S28" s="266"/>
      <c r="T28" s="36"/>
      <c r="U28" s="36">
        <f>SUM(U8,U15,U22,U26)</f>
        <v>43800</v>
      </c>
      <c r="V28" s="37">
        <f>SUM(V8,V15,V22,V26)</f>
        <v>900</v>
      </c>
    </row>
    <row r="36" spans="6:6" x14ac:dyDescent="0.3">
      <c r="F36" s="90"/>
    </row>
  </sheetData>
  <mergeCells count="30">
    <mergeCell ref="C20:G20"/>
    <mergeCell ref="G25:G26"/>
    <mergeCell ref="C24:G24"/>
    <mergeCell ref="G21:G22"/>
    <mergeCell ref="I4:O4"/>
    <mergeCell ref="J6:O6"/>
    <mergeCell ref="O8:O11"/>
    <mergeCell ref="R20:W20"/>
    <mergeCell ref="J24:O24"/>
    <mergeCell ref="R24:W24"/>
    <mergeCell ref="W15:W18"/>
    <mergeCell ref="W25:W26"/>
    <mergeCell ref="W21:W22"/>
    <mergeCell ref="O15:O18"/>
    <mergeCell ref="C28:D28"/>
    <mergeCell ref="J28:K28"/>
    <mergeCell ref="R28:S28"/>
    <mergeCell ref="B4:G4"/>
    <mergeCell ref="G7:G11"/>
    <mergeCell ref="C6:G6"/>
    <mergeCell ref="G14:G18"/>
    <mergeCell ref="C13:G13"/>
    <mergeCell ref="J13:O13"/>
    <mergeCell ref="O21:O22"/>
    <mergeCell ref="O25:O26"/>
    <mergeCell ref="J20:O20"/>
    <mergeCell ref="Q4:W4"/>
    <mergeCell ref="R6:W6"/>
    <mergeCell ref="W8:W11"/>
    <mergeCell ref="R13:W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D322-957A-44AA-BA7F-4A8EF96768D7}">
  <sheetPr>
    <tabColor rgb="FFFFC000"/>
  </sheetPr>
  <dimension ref="B1:R24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1" customWidth="1"/>
    <col min="2" max="2" width="7.44140625" style="32" customWidth="1"/>
    <col min="3" max="4" width="5" style="1" customWidth="1"/>
    <col min="5" max="6" width="10.77734375" style="1" customWidth="1"/>
    <col min="7" max="7" width="3.33203125" style="1" customWidth="1"/>
    <col min="8" max="8" width="7.44140625" style="32" customWidth="1"/>
    <col min="9" max="10" width="5" style="1" customWidth="1"/>
    <col min="11" max="12" width="10.77734375" style="1" customWidth="1"/>
    <col min="13" max="13" width="3.33203125" style="1" customWidth="1"/>
    <col min="14" max="14" width="7.44140625" style="32" customWidth="1"/>
    <col min="15" max="16" width="5" style="1" customWidth="1"/>
    <col min="17" max="18" width="10.77734375" style="1" customWidth="1"/>
    <col min="19" max="16384" width="11.44140625" style="1"/>
  </cols>
  <sheetData>
    <row r="1" spans="2:18" ht="8.5500000000000007" customHeight="1" x14ac:dyDescent="0.3"/>
    <row r="2" spans="2:18" ht="37.950000000000003" customHeight="1" x14ac:dyDescent="0.3">
      <c r="B2" s="76" t="s">
        <v>55</v>
      </c>
      <c r="C2" s="12"/>
      <c r="D2" s="10"/>
      <c r="E2" s="11"/>
      <c r="F2" s="10"/>
      <c r="G2" s="13"/>
      <c r="H2" s="13"/>
      <c r="I2" s="12"/>
      <c r="J2" s="10"/>
      <c r="K2" s="11"/>
      <c r="L2" s="10"/>
      <c r="M2" s="13"/>
      <c r="N2" s="13"/>
      <c r="O2" s="12"/>
      <c r="P2" s="10"/>
      <c r="Q2" s="11"/>
      <c r="R2" s="10"/>
    </row>
    <row r="3" spans="2:18" ht="8.5500000000000007" customHeight="1" x14ac:dyDescent="0.3"/>
    <row r="4" spans="2:18" ht="15.6" x14ac:dyDescent="0.3">
      <c r="B4" s="267" t="s">
        <v>16</v>
      </c>
      <c r="C4" s="267"/>
      <c r="D4" s="267"/>
      <c r="E4" s="267"/>
      <c r="F4" s="267"/>
      <c r="H4" s="267" t="s">
        <v>17</v>
      </c>
      <c r="I4" s="267"/>
      <c r="J4" s="267"/>
      <c r="K4" s="267"/>
      <c r="L4" s="267"/>
      <c r="N4" s="267" t="s">
        <v>18</v>
      </c>
      <c r="O4" s="267"/>
      <c r="P4" s="267"/>
      <c r="Q4" s="267"/>
      <c r="R4" s="267"/>
    </row>
    <row r="5" spans="2:18" ht="8.5500000000000007" customHeight="1" x14ac:dyDescent="0.3"/>
    <row r="6" spans="2:18" x14ac:dyDescent="0.3">
      <c r="E6" s="276" t="s">
        <v>56</v>
      </c>
      <c r="F6" s="276"/>
      <c r="K6" s="276" t="s">
        <v>56</v>
      </c>
      <c r="L6" s="276"/>
      <c r="Q6" s="276" t="s">
        <v>56</v>
      </c>
      <c r="R6" s="276"/>
    </row>
    <row r="7" spans="2:18" x14ac:dyDescent="0.3">
      <c r="B7" s="27"/>
      <c r="C7" s="19">
        <v>60</v>
      </c>
      <c r="D7" s="19" t="s">
        <v>43</v>
      </c>
      <c r="E7" s="28" t="s">
        <v>27</v>
      </c>
      <c r="F7" s="28" t="s">
        <v>44</v>
      </c>
      <c r="H7" s="27"/>
      <c r="I7" s="19">
        <v>60</v>
      </c>
      <c r="J7" s="19" t="s">
        <v>43</v>
      </c>
      <c r="K7" s="28" t="s">
        <v>27</v>
      </c>
      <c r="L7" s="28" t="s">
        <v>44</v>
      </c>
      <c r="N7" s="27"/>
      <c r="O7" s="19">
        <v>60</v>
      </c>
      <c r="P7" s="19" t="s">
        <v>43</v>
      </c>
      <c r="Q7" s="28" t="s">
        <v>27</v>
      </c>
      <c r="R7" s="28" t="s">
        <v>44</v>
      </c>
    </row>
    <row r="8" spans="2:18" x14ac:dyDescent="0.3">
      <c r="B8" s="27"/>
      <c r="C8" s="29">
        <v>1</v>
      </c>
      <c r="D8" s="29" t="s">
        <v>45</v>
      </c>
      <c r="E8" s="35">
        <f>F8*$C$7</f>
        <v>120</v>
      </c>
      <c r="F8" s="31">
        <v>2</v>
      </c>
      <c r="H8" s="27"/>
      <c r="I8" s="29">
        <v>1</v>
      </c>
      <c r="J8" s="29" t="s">
        <v>46</v>
      </c>
      <c r="K8" s="35">
        <f>L8*$I$7</f>
        <v>600</v>
      </c>
      <c r="L8" s="31">
        <v>10</v>
      </c>
      <c r="N8" s="27"/>
      <c r="O8" s="29">
        <v>1</v>
      </c>
      <c r="P8" s="29" t="s">
        <v>47</v>
      </c>
      <c r="Q8" s="30">
        <f>R8*$O$7</f>
        <v>1200</v>
      </c>
      <c r="R8" s="31">
        <v>20</v>
      </c>
    </row>
    <row r="9" spans="2:18" x14ac:dyDescent="0.3">
      <c r="B9" s="27"/>
      <c r="C9" s="20">
        <v>2</v>
      </c>
      <c r="D9" s="20" t="s">
        <v>45</v>
      </c>
      <c r="E9" s="21">
        <f t="shared" ref="E9:E11" si="0">F9*$C$7</f>
        <v>240</v>
      </c>
      <c r="F9" s="22">
        <f>$F$8*C9</f>
        <v>4</v>
      </c>
      <c r="H9" s="27"/>
      <c r="I9" s="20">
        <v>2</v>
      </c>
      <c r="J9" s="20" t="s">
        <v>46</v>
      </c>
      <c r="K9" s="21">
        <f>L9*$I$7</f>
        <v>1200</v>
      </c>
      <c r="L9" s="22">
        <f>$L$8*I9</f>
        <v>20</v>
      </c>
      <c r="N9" s="27"/>
      <c r="O9" s="20">
        <v>2</v>
      </c>
      <c r="P9" s="20" t="s">
        <v>47</v>
      </c>
      <c r="Q9" s="21">
        <f t="shared" ref="Q9:Q11" si="1">R9*$O$7</f>
        <v>2400</v>
      </c>
      <c r="R9" s="22">
        <f>$R$8*O9</f>
        <v>40</v>
      </c>
    </row>
    <row r="10" spans="2:18" x14ac:dyDescent="0.3">
      <c r="B10" s="27"/>
      <c r="C10" s="20">
        <v>3</v>
      </c>
      <c r="D10" s="20" t="s">
        <v>45</v>
      </c>
      <c r="E10" s="21">
        <f t="shared" si="0"/>
        <v>360</v>
      </c>
      <c r="F10" s="22">
        <f t="shared" ref="F10:F11" si="2">$F$8*C10</f>
        <v>6</v>
      </c>
      <c r="H10" s="27"/>
      <c r="I10" s="20">
        <v>3</v>
      </c>
      <c r="J10" s="20" t="s">
        <v>46</v>
      </c>
      <c r="K10" s="21">
        <f t="shared" ref="K10:K11" si="3">L10*$I$7</f>
        <v>1800</v>
      </c>
      <c r="L10" s="22">
        <f t="shared" ref="L10:L11" si="4">$L$8*I10</f>
        <v>30</v>
      </c>
      <c r="N10" s="27"/>
      <c r="O10" s="20">
        <v>3</v>
      </c>
      <c r="P10" s="20" t="s">
        <v>47</v>
      </c>
      <c r="Q10" s="21">
        <f t="shared" si="1"/>
        <v>3600</v>
      </c>
      <c r="R10" s="22">
        <f t="shared" ref="R10:R11" si="5">$R$8*O10</f>
        <v>60</v>
      </c>
    </row>
    <row r="11" spans="2:18" x14ac:dyDescent="0.3">
      <c r="B11" s="27"/>
      <c r="C11" s="20">
        <v>4</v>
      </c>
      <c r="D11" s="20" t="s">
        <v>45</v>
      </c>
      <c r="E11" s="21">
        <f t="shared" si="0"/>
        <v>480</v>
      </c>
      <c r="F11" s="22">
        <f t="shared" si="2"/>
        <v>8</v>
      </c>
      <c r="H11" s="27"/>
      <c r="I11" s="20">
        <v>4</v>
      </c>
      <c r="J11" s="20" t="s">
        <v>46</v>
      </c>
      <c r="K11" s="21">
        <f t="shared" si="3"/>
        <v>2400</v>
      </c>
      <c r="L11" s="22">
        <f t="shared" si="4"/>
        <v>40</v>
      </c>
      <c r="N11" s="27"/>
      <c r="O11" s="20">
        <v>4</v>
      </c>
      <c r="P11" s="20" t="s">
        <v>47</v>
      </c>
      <c r="Q11" s="21">
        <f t="shared" si="1"/>
        <v>4800</v>
      </c>
      <c r="R11" s="22">
        <f t="shared" si="5"/>
        <v>80</v>
      </c>
    </row>
    <row r="12" spans="2:18" ht="8.5500000000000007" customHeight="1" x14ac:dyDescent="0.3"/>
    <row r="13" spans="2:18" x14ac:dyDescent="0.3">
      <c r="E13" s="276" t="s">
        <v>56</v>
      </c>
      <c r="F13" s="276"/>
      <c r="K13" s="276" t="s">
        <v>56</v>
      </c>
      <c r="L13" s="276"/>
      <c r="Q13" s="276" t="s">
        <v>56</v>
      </c>
      <c r="R13" s="276"/>
    </row>
    <row r="14" spans="2:18" x14ac:dyDescent="0.3">
      <c r="C14" s="19">
        <v>60</v>
      </c>
      <c r="D14" s="19" t="s">
        <v>43</v>
      </c>
      <c r="E14" s="28" t="s">
        <v>27</v>
      </c>
      <c r="F14" s="28" t="s">
        <v>44</v>
      </c>
      <c r="I14" s="19">
        <v>60</v>
      </c>
      <c r="J14" s="19" t="s">
        <v>43</v>
      </c>
      <c r="K14" s="28" t="s">
        <v>27</v>
      </c>
      <c r="L14" s="28" t="s">
        <v>44</v>
      </c>
      <c r="O14" s="19">
        <v>60</v>
      </c>
      <c r="P14" s="19" t="s">
        <v>43</v>
      </c>
      <c r="Q14" s="28" t="s">
        <v>27</v>
      </c>
      <c r="R14" s="28" t="s">
        <v>44</v>
      </c>
    </row>
    <row r="15" spans="2:18" x14ac:dyDescent="0.3">
      <c r="C15" s="29">
        <v>1</v>
      </c>
      <c r="D15" s="29" t="s">
        <v>49</v>
      </c>
      <c r="E15" s="35">
        <f>F15*$C$14</f>
        <v>600</v>
      </c>
      <c r="F15" s="31">
        <v>10</v>
      </c>
      <c r="I15" s="29">
        <v>1</v>
      </c>
      <c r="J15" s="29" t="s">
        <v>49</v>
      </c>
      <c r="K15" s="35">
        <f>L15*$I$14</f>
        <v>600</v>
      </c>
      <c r="L15" s="31">
        <v>10</v>
      </c>
      <c r="O15" s="29">
        <v>1</v>
      </c>
      <c r="P15" s="29" t="s">
        <v>47</v>
      </c>
      <c r="Q15" s="30">
        <f>R15*$O$14</f>
        <v>900</v>
      </c>
      <c r="R15" s="31">
        <v>15</v>
      </c>
    </row>
    <row r="16" spans="2:18" x14ac:dyDescent="0.3">
      <c r="C16" s="20">
        <v>2</v>
      </c>
      <c r="D16" s="20" t="s">
        <v>49</v>
      </c>
      <c r="E16" s="21">
        <f>$E$15*C16</f>
        <v>1200</v>
      </c>
      <c r="F16" s="22">
        <f>$F$15*C16</f>
        <v>20</v>
      </c>
      <c r="I16" s="20">
        <v>2</v>
      </c>
      <c r="J16" s="20" t="s">
        <v>49</v>
      </c>
      <c r="K16" s="21">
        <f>L16*$I$14</f>
        <v>1200</v>
      </c>
      <c r="L16" s="22">
        <f>$L$15*I16</f>
        <v>20</v>
      </c>
      <c r="O16" s="20">
        <v>2</v>
      </c>
      <c r="P16" s="20" t="s">
        <v>47</v>
      </c>
      <c r="Q16" s="21">
        <f>R16*$O$14</f>
        <v>1800</v>
      </c>
      <c r="R16" s="22">
        <f>$R$15*O16</f>
        <v>30</v>
      </c>
    </row>
    <row r="17" spans="3:18" x14ac:dyDescent="0.3">
      <c r="C17" s="20">
        <v>3</v>
      </c>
      <c r="D17" s="20" t="s">
        <v>49</v>
      </c>
      <c r="E17" s="21">
        <f t="shared" ref="E17" si="6">$E$15*C17</f>
        <v>1800</v>
      </c>
      <c r="F17" s="22">
        <f t="shared" ref="F17:F18" si="7">$F$15*C17</f>
        <v>30</v>
      </c>
      <c r="I17" s="20">
        <v>3</v>
      </c>
      <c r="J17" s="20" t="s">
        <v>49</v>
      </c>
      <c r="K17" s="21">
        <f>L17*$I$14</f>
        <v>1800</v>
      </c>
      <c r="L17" s="22">
        <f t="shared" ref="L17:L18" si="8">$L$15*I17</f>
        <v>30</v>
      </c>
      <c r="O17" s="20">
        <v>3</v>
      </c>
      <c r="P17" s="20" t="s">
        <v>47</v>
      </c>
      <c r="Q17" s="21">
        <f t="shared" ref="Q17:Q18" si="9">R17*$O$14</f>
        <v>2700</v>
      </c>
      <c r="R17" s="22">
        <f t="shared" ref="R17:R18" si="10">$R$15*O17</f>
        <v>45</v>
      </c>
    </row>
    <row r="18" spans="3:18" x14ac:dyDescent="0.3">
      <c r="C18" s="20">
        <v>4</v>
      </c>
      <c r="D18" s="20" t="s">
        <v>49</v>
      </c>
      <c r="E18" s="21">
        <f>$E$15*C18</f>
        <v>2400</v>
      </c>
      <c r="F18" s="22">
        <f t="shared" si="7"/>
        <v>40</v>
      </c>
      <c r="I18" s="20">
        <v>4</v>
      </c>
      <c r="J18" s="20" t="s">
        <v>49</v>
      </c>
      <c r="K18" s="21">
        <f t="shared" ref="K18" si="11">L18*$I$14</f>
        <v>2400</v>
      </c>
      <c r="L18" s="22">
        <f t="shared" si="8"/>
        <v>40</v>
      </c>
      <c r="O18" s="20">
        <v>4</v>
      </c>
      <c r="P18" s="20" t="s">
        <v>47</v>
      </c>
      <c r="Q18" s="21">
        <f t="shared" si="9"/>
        <v>3600</v>
      </c>
      <c r="R18" s="22">
        <f t="shared" si="10"/>
        <v>60</v>
      </c>
    </row>
    <row r="19" spans="3:18" ht="8.5500000000000007" customHeight="1" x14ac:dyDescent="0.3"/>
    <row r="20" spans="3:18" x14ac:dyDescent="0.3">
      <c r="E20" s="276" t="s">
        <v>57</v>
      </c>
      <c r="F20" s="276"/>
      <c r="K20" s="276" t="s">
        <v>57</v>
      </c>
      <c r="L20" s="276"/>
      <c r="Q20" s="276" t="s">
        <v>57</v>
      </c>
      <c r="R20" s="276"/>
    </row>
    <row r="21" spans="3:18" x14ac:dyDescent="0.3">
      <c r="C21" s="19">
        <v>60</v>
      </c>
      <c r="D21" s="19" t="s">
        <v>43</v>
      </c>
      <c r="E21" s="28" t="s">
        <v>27</v>
      </c>
      <c r="F21" s="28" t="s">
        <v>44</v>
      </c>
      <c r="I21" s="19">
        <v>60</v>
      </c>
      <c r="J21" s="19" t="s">
        <v>43</v>
      </c>
      <c r="K21" s="28" t="s">
        <v>27</v>
      </c>
      <c r="L21" s="28" t="s">
        <v>44</v>
      </c>
      <c r="O21" s="19">
        <v>60</v>
      </c>
      <c r="P21" s="19" t="s">
        <v>43</v>
      </c>
      <c r="Q21" s="28" t="s">
        <v>27</v>
      </c>
      <c r="R21" s="28" t="s">
        <v>44</v>
      </c>
    </row>
    <row r="22" spans="3:18" x14ac:dyDescent="0.3">
      <c r="C22" s="29">
        <v>1</v>
      </c>
      <c r="D22" s="29" t="s">
        <v>79</v>
      </c>
      <c r="E22" s="35">
        <f>F22*$C$21</f>
        <v>180</v>
      </c>
      <c r="F22" s="31">
        <v>3</v>
      </c>
      <c r="I22" s="29">
        <v>1</v>
      </c>
      <c r="J22" s="29" t="s">
        <v>79</v>
      </c>
      <c r="K22" s="35">
        <f>L22*$I$21</f>
        <v>600</v>
      </c>
      <c r="L22" s="31">
        <v>10</v>
      </c>
      <c r="O22" s="29">
        <v>1</v>
      </c>
      <c r="P22" s="29" t="s">
        <v>79</v>
      </c>
      <c r="Q22" s="35">
        <f>R22*$O$21</f>
        <v>600</v>
      </c>
      <c r="R22" s="31">
        <v>10</v>
      </c>
    </row>
    <row r="23" spans="3:18" ht="8.5500000000000007" customHeight="1" thickBot="1" x14ac:dyDescent="0.35"/>
    <row r="24" spans="3:18" ht="15" thickBot="1" x14ac:dyDescent="0.35">
      <c r="C24" s="265" t="s">
        <v>27</v>
      </c>
      <c r="D24" s="266"/>
      <c r="E24" s="36">
        <f>SUM(E8,E15,E22)</f>
        <v>900</v>
      </c>
      <c r="F24" s="37">
        <f>SUM(F8,F15,F22)</f>
        <v>15</v>
      </c>
      <c r="I24" s="265" t="s">
        <v>27</v>
      </c>
      <c r="J24" s="266"/>
      <c r="K24" s="36">
        <f>SUM(K8,K15,K22)</f>
        <v>1800</v>
      </c>
      <c r="L24" s="37">
        <f>SUM(L8,L15,L22)</f>
        <v>30</v>
      </c>
      <c r="O24" s="265" t="s">
        <v>27</v>
      </c>
      <c r="P24" s="266"/>
      <c r="Q24" s="36">
        <f>SUM(Q8,Q15,Q22)</f>
        <v>2700</v>
      </c>
      <c r="R24" s="37">
        <f>SUM(R8,R15,R22)</f>
        <v>45</v>
      </c>
    </row>
  </sheetData>
  <mergeCells count="15">
    <mergeCell ref="Q13:R13"/>
    <mergeCell ref="E20:F20"/>
    <mergeCell ref="K20:L20"/>
    <mergeCell ref="Q20:R20"/>
    <mergeCell ref="B4:F4"/>
    <mergeCell ref="H4:L4"/>
    <mergeCell ref="N4:R4"/>
    <mergeCell ref="E6:F6"/>
    <mergeCell ref="K6:L6"/>
    <mergeCell ref="Q6:R6"/>
    <mergeCell ref="C24:D24"/>
    <mergeCell ref="I24:J24"/>
    <mergeCell ref="O24:P24"/>
    <mergeCell ref="E13:F13"/>
    <mergeCell ref="K13:L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E82D-F3E9-41B9-945A-06E751E6AAD4}">
  <sheetPr>
    <tabColor rgb="FFFFC000"/>
  </sheetPr>
  <dimension ref="B1:AD37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1" customWidth="1"/>
    <col min="2" max="2" width="7.5546875" style="32" customWidth="1"/>
    <col min="3" max="3" width="3.44140625" style="1" customWidth="1"/>
    <col min="4" max="4" width="4.33203125" style="1" customWidth="1"/>
    <col min="5" max="5" width="8.6640625" style="1" customWidth="1"/>
    <col min="6" max="6" width="8" style="1" customWidth="1"/>
    <col min="7" max="7" width="8.6640625" style="1" customWidth="1"/>
    <col min="8" max="8" width="8" style="1" customWidth="1"/>
    <col min="9" max="9" width="8.6640625" style="1" customWidth="1"/>
    <col min="10" max="10" width="8" style="1" customWidth="1"/>
    <col min="11" max="11" width="3.33203125" style="1" customWidth="1"/>
    <col min="12" max="12" width="6.6640625" style="32" customWidth="1"/>
    <col min="13" max="13" width="3.44140625" style="1" customWidth="1"/>
    <col min="14" max="14" width="4.33203125" style="1" customWidth="1"/>
    <col min="15" max="15" width="8.6640625" style="1" customWidth="1"/>
    <col min="16" max="16" width="8" style="1" customWidth="1"/>
    <col min="17" max="17" width="8.6640625" style="1" customWidth="1"/>
    <col min="18" max="18" width="8" style="1" customWidth="1"/>
    <col min="19" max="19" width="8.6640625" style="1" customWidth="1"/>
    <col min="20" max="20" width="8" style="1" customWidth="1"/>
    <col min="21" max="21" width="3.33203125" style="1" customWidth="1"/>
    <col min="22" max="22" width="6.6640625" style="32" customWidth="1"/>
    <col min="23" max="23" width="3.44140625" style="1" customWidth="1"/>
    <col min="24" max="24" width="4.33203125" style="1" customWidth="1"/>
    <col min="25" max="25" width="8.6640625" style="1" customWidth="1"/>
    <col min="26" max="26" width="8" style="1" customWidth="1"/>
    <col min="27" max="27" width="8.6640625" style="1" customWidth="1"/>
    <col min="28" max="28" width="8" style="1" customWidth="1"/>
    <col min="29" max="29" width="8.6640625" style="1" customWidth="1"/>
    <col min="30" max="30" width="8" style="1" customWidth="1"/>
    <col min="31" max="16384" width="11.44140625" style="1"/>
  </cols>
  <sheetData>
    <row r="1" spans="2:30" ht="8.5500000000000007" customHeight="1" x14ac:dyDescent="0.3"/>
    <row r="2" spans="2:30" ht="37.950000000000003" customHeight="1" x14ac:dyDescent="0.3">
      <c r="B2" s="76" t="s">
        <v>58</v>
      </c>
      <c r="C2" s="12"/>
      <c r="D2" s="10"/>
      <c r="E2" s="11"/>
      <c r="F2" s="10"/>
      <c r="G2" s="10"/>
      <c r="H2" s="10"/>
      <c r="I2" s="10"/>
      <c r="J2" s="10"/>
      <c r="K2" s="13"/>
      <c r="L2" s="33"/>
      <c r="M2" s="12"/>
      <c r="N2" s="10"/>
      <c r="O2" s="11"/>
      <c r="P2" s="10"/>
      <c r="Q2" s="10"/>
      <c r="R2" s="10"/>
      <c r="S2" s="10"/>
      <c r="T2" s="10"/>
      <c r="U2" s="13"/>
      <c r="V2" s="33"/>
      <c r="W2" s="12"/>
      <c r="X2" s="10"/>
      <c r="Y2" s="11"/>
      <c r="Z2" s="10"/>
      <c r="AA2" s="10"/>
      <c r="AB2" s="10"/>
      <c r="AC2" s="10"/>
      <c r="AD2" s="10"/>
    </row>
    <row r="3" spans="2:30" ht="8.5500000000000007" customHeight="1" x14ac:dyDescent="0.3"/>
    <row r="4" spans="2:30" ht="15.6" x14ac:dyDescent="0.3">
      <c r="B4" s="267" t="s">
        <v>16</v>
      </c>
      <c r="C4" s="267"/>
      <c r="D4" s="267"/>
      <c r="E4" s="267"/>
      <c r="F4" s="267"/>
      <c r="G4" s="267"/>
      <c r="H4" s="267"/>
      <c r="I4" s="267"/>
      <c r="J4" s="277"/>
      <c r="L4" s="267" t="s">
        <v>17</v>
      </c>
      <c r="M4" s="267"/>
      <c r="N4" s="267"/>
      <c r="O4" s="267"/>
      <c r="P4" s="267"/>
      <c r="Q4" s="267"/>
      <c r="R4" s="267"/>
      <c r="S4" s="267"/>
      <c r="T4" s="277"/>
      <c r="V4" s="267" t="s">
        <v>18</v>
      </c>
      <c r="W4" s="267"/>
      <c r="X4" s="267"/>
      <c r="Y4" s="267"/>
      <c r="Z4" s="267"/>
      <c r="AA4" s="267"/>
      <c r="AB4" s="267"/>
      <c r="AC4" s="267"/>
      <c r="AD4" s="277"/>
    </row>
    <row r="5" spans="2:30" ht="8.5500000000000007" customHeight="1" x14ac:dyDescent="0.3"/>
    <row r="6" spans="2:30" x14ac:dyDescent="0.3">
      <c r="E6" s="276" t="s">
        <v>59</v>
      </c>
      <c r="F6" s="276"/>
      <c r="G6" s="276" t="s">
        <v>60</v>
      </c>
      <c r="H6" s="276"/>
      <c r="I6" s="276" t="s">
        <v>61</v>
      </c>
      <c r="J6" s="276"/>
      <c r="O6" s="276" t="s">
        <v>59</v>
      </c>
      <c r="P6" s="276"/>
      <c r="Q6" s="276" t="s">
        <v>60</v>
      </c>
      <c r="R6" s="276"/>
      <c r="S6" s="276" t="s">
        <v>61</v>
      </c>
      <c r="T6" s="276"/>
      <c r="Y6" s="276" t="s">
        <v>59</v>
      </c>
      <c r="Z6" s="276"/>
      <c r="AA6" s="276" t="s">
        <v>60</v>
      </c>
      <c r="AB6" s="276"/>
      <c r="AC6" s="276" t="s">
        <v>61</v>
      </c>
      <c r="AD6" s="276"/>
    </row>
    <row r="7" spans="2:30" x14ac:dyDescent="0.3">
      <c r="B7" s="27"/>
      <c r="C7" s="19">
        <v>84</v>
      </c>
      <c r="D7" s="19" t="s">
        <v>43</v>
      </c>
      <c r="E7" s="28" t="s">
        <v>27</v>
      </c>
      <c r="F7" s="28" t="s">
        <v>44</v>
      </c>
      <c r="G7" s="28" t="s">
        <v>27</v>
      </c>
      <c r="H7" s="28" t="s">
        <v>44</v>
      </c>
      <c r="I7" s="28" t="s">
        <v>27</v>
      </c>
      <c r="J7" s="28" t="s">
        <v>44</v>
      </c>
      <c r="L7" s="27"/>
      <c r="M7" s="19">
        <v>84</v>
      </c>
      <c r="N7" s="19" t="s">
        <v>43</v>
      </c>
      <c r="O7" s="28" t="s">
        <v>27</v>
      </c>
      <c r="P7" s="28" t="s">
        <v>44</v>
      </c>
      <c r="Q7" s="28" t="s">
        <v>27</v>
      </c>
      <c r="R7" s="28" t="s">
        <v>44</v>
      </c>
      <c r="S7" s="28" t="s">
        <v>27</v>
      </c>
      <c r="T7" s="28" t="s">
        <v>44</v>
      </c>
      <c r="V7" s="27"/>
      <c r="W7" s="19">
        <v>84</v>
      </c>
      <c r="X7" s="19" t="s">
        <v>43</v>
      </c>
      <c r="Y7" s="28" t="s">
        <v>27</v>
      </c>
      <c r="Z7" s="28" t="s">
        <v>44</v>
      </c>
      <c r="AA7" s="28" t="s">
        <v>27</v>
      </c>
      <c r="AB7" s="28" t="s">
        <v>44</v>
      </c>
      <c r="AC7" s="28" t="s">
        <v>27</v>
      </c>
      <c r="AD7" s="28" t="s">
        <v>44</v>
      </c>
    </row>
    <row r="8" spans="2:30" x14ac:dyDescent="0.3">
      <c r="B8" s="27"/>
      <c r="C8" s="29">
        <v>1</v>
      </c>
      <c r="D8" s="29" t="s">
        <v>62</v>
      </c>
      <c r="E8" s="30">
        <v>1000</v>
      </c>
      <c r="F8" s="31">
        <f>E8/$C$7</f>
        <v>11.904761904761905</v>
      </c>
      <c r="G8" s="30">
        <v>1200</v>
      </c>
      <c r="H8" s="31">
        <f>G8/$C$7</f>
        <v>14.285714285714286</v>
      </c>
      <c r="I8" s="30">
        <v>2200</v>
      </c>
      <c r="J8" s="31">
        <f>I8/$C$7</f>
        <v>26.19047619047619</v>
      </c>
      <c r="L8" s="27"/>
      <c r="M8" s="29">
        <v>1</v>
      </c>
      <c r="N8" s="29" t="s">
        <v>62</v>
      </c>
      <c r="O8" s="30">
        <v>1000</v>
      </c>
      <c r="P8" s="31">
        <f>O8/$M$7</f>
        <v>11.904761904761905</v>
      </c>
      <c r="Q8" s="30">
        <v>1200</v>
      </c>
      <c r="R8" s="31">
        <f>Q8/$M$7</f>
        <v>14.285714285714286</v>
      </c>
      <c r="S8" s="78">
        <v>2200</v>
      </c>
      <c r="T8" s="31">
        <f>S8/$M$7</f>
        <v>26.19047619047619</v>
      </c>
      <c r="V8" s="27"/>
      <c r="W8" s="29">
        <v>1</v>
      </c>
      <c r="X8" s="29" t="s">
        <v>62</v>
      </c>
      <c r="Y8" s="30">
        <v>800</v>
      </c>
      <c r="Z8" s="31">
        <f>Y8/$W$7</f>
        <v>9.5238095238095237</v>
      </c>
      <c r="AA8" s="30">
        <v>1000</v>
      </c>
      <c r="AB8" s="31">
        <f>AA8/$W$7</f>
        <v>11.904761904761905</v>
      </c>
      <c r="AC8" s="30">
        <v>1600</v>
      </c>
      <c r="AD8" s="31">
        <f>AC8/$W$7</f>
        <v>19.047619047619047</v>
      </c>
    </row>
    <row r="9" spans="2:30" x14ac:dyDescent="0.3">
      <c r="B9" s="27"/>
      <c r="C9" s="20">
        <v>2</v>
      </c>
      <c r="D9" s="20" t="s">
        <v>62</v>
      </c>
      <c r="E9" s="21">
        <f>$E$8*C9</f>
        <v>2000</v>
      </c>
      <c r="F9" s="22">
        <f>E9/$C$7</f>
        <v>23.80952380952381</v>
      </c>
      <c r="G9" s="21">
        <f>$G$8*C9</f>
        <v>2400</v>
      </c>
      <c r="H9" s="22">
        <f>G9/$C$7</f>
        <v>28.571428571428573</v>
      </c>
      <c r="I9" s="21">
        <f>$I$8*C9</f>
        <v>4400</v>
      </c>
      <c r="J9" s="22">
        <f>I9/$C$7</f>
        <v>52.38095238095238</v>
      </c>
      <c r="L9" s="27"/>
      <c r="M9" s="20">
        <v>2</v>
      </c>
      <c r="N9" s="20" t="s">
        <v>62</v>
      </c>
      <c r="O9" s="21">
        <f>$O$8*M9</f>
        <v>2000</v>
      </c>
      <c r="P9" s="22">
        <f>O9/$M$7</f>
        <v>23.80952380952381</v>
      </c>
      <c r="Q9" s="21">
        <f>$Q$8*M9</f>
        <v>2400</v>
      </c>
      <c r="R9" s="22">
        <f>Q9/$M$7</f>
        <v>28.571428571428573</v>
      </c>
      <c r="S9" s="21">
        <f>$S$8*M9</f>
        <v>4400</v>
      </c>
      <c r="T9" s="22">
        <f>S9/$M$7</f>
        <v>52.38095238095238</v>
      </c>
      <c r="V9" s="27"/>
      <c r="W9" s="20">
        <v>2</v>
      </c>
      <c r="X9" s="20" t="s">
        <v>62</v>
      </c>
      <c r="Y9" s="21">
        <f>$Y$8*W9</f>
        <v>1600</v>
      </c>
      <c r="Z9" s="22">
        <f>Y9/$W$7</f>
        <v>19.047619047619047</v>
      </c>
      <c r="AA9" s="21">
        <f>$AA$8*W9</f>
        <v>2000</v>
      </c>
      <c r="AB9" s="22">
        <f>AA9/$W$7</f>
        <v>23.80952380952381</v>
      </c>
      <c r="AC9" s="21">
        <f>$AC$8*W9</f>
        <v>3200</v>
      </c>
      <c r="AD9" s="22">
        <f>AC9/$W$7</f>
        <v>38.095238095238095</v>
      </c>
    </row>
    <row r="10" spans="2:30" x14ac:dyDescent="0.3">
      <c r="B10" s="27"/>
      <c r="C10" s="20">
        <v>3</v>
      </c>
      <c r="D10" s="20" t="s">
        <v>62</v>
      </c>
      <c r="E10" s="21">
        <f t="shared" ref="E10:E37" si="0">$E$8*C10</f>
        <v>3000</v>
      </c>
      <c r="F10" s="22">
        <f t="shared" ref="F10:F37" si="1">E10/$C$7</f>
        <v>35.714285714285715</v>
      </c>
      <c r="G10" s="21">
        <f t="shared" ref="G10:G37" si="2">$G$8*C10</f>
        <v>3600</v>
      </c>
      <c r="H10" s="22">
        <f t="shared" ref="H10:H37" si="3">G10/$C$7</f>
        <v>42.857142857142854</v>
      </c>
      <c r="I10" s="21">
        <f t="shared" ref="I10:I37" si="4">$I$8*C10</f>
        <v>6600</v>
      </c>
      <c r="J10" s="22">
        <f>I10/$C$7</f>
        <v>78.571428571428569</v>
      </c>
      <c r="L10" s="27"/>
      <c r="M10" s="20">
        <v>3</v>
      </c>
      <c r="N10" s="20" t="s">
        <v>62</v>
      </c>
      <c r="O10" s="21">
        <f t="shared" ref="O10:O37" si="5">$O$8*M10</f>
        <v>3000</v>
      </c>
      <c r="P10" s="22">
        <f t="shared" ref="P10:P37" si="6">O10/$M$7</f>
        <v>35.714285714285715</v>
      </c>
      <c r="Q10" s="21">
        <f t="shared" ref="Q10:Q37" si="7">$Q$8*M10</f>
        <v>3600</v>
      </c>
      <c r="R10" s="22">
        <f t="shared" ref="R10:R37" si="8">Q10/$M$7</f>
        <v>42.857142857142854</v>
      </c>
      <c r="S10" s="21">
        <f t="shared" ref="S10:S37" si="9">$S$8*M10</f>
        <v>6600</v>
      </c>
      <c r="T10" s="22">
        <f t="shared" ref="T10:T37" si="10">S10/$M$7</f>
        <v>78.571428571428569</v>
      </c>
      <c r="V10" s="34" t="s">
        <v>63</v>
      </c>
      <c r="W10" s="23">
        <v>3</v>
      </c>
      <c r="X10" s="23" t="s">
        <v>62</v>
      </c>
      <c r="Y10" s="21">
        <f t="shared" ref="Y10:Y37" si="11">$Y$8*W10</f>
        <v>2400</v>
      </c>
      <c r="Z10" s="22">
        <f t="shared" ref="Z10:Z37" si="12">Y10/$W$7</f>
        <v>28.571428571428573</v>
      </c>
      <c r="AA10" s="24">
        <f t="shared" ref="AA10:AA37" si="13">$AA$8*W10</f>
        <v>3000</v>
      </c>
      <c r="AB10" s="25">
        <f t="shared" ref="AB10:AB37" si="14">AA10/$W$7</f>
        <v>35.714285714285715</v>
      </c>
      <c r="AC10" s="21">
        <f t="shared" ref="AC10:AC37" si="15">$AC$8*W10</f>
        <v>4800</v>
      </c>
      <c r="AD10" s="22">
        <f t="shared" ref="AD10:AD37" si="16">AC10/$W$7</f>
        <v>57.142857142857146</v>
      </c>
    </row>
    <row r="11" spans="2:30" x14ac:dyDescent="0.3">
      <c r="B11" s="27"/>
      <c r="C11" s="20">
        <v>4</v>
      </c>
      <c r="D11" s="20" t="s">
        <v>62</v>
      </c>
      <c r="E11" s="21">
        <f t="shared" si="0"/>
        <v>4000</v>
      </c>
      <c r="F11" s="22">
        <f t="shared" si="1"/>
        <v>47.61904761904762</v>
      </c>
      <c r="G11" s="21">
        <f t="shared" si="2"/>
        <v>4800</v>
      </c>
      <c r="H11" s="22">
        <f t="shared" si="3"/>
        <v>57.142857142857146</v>
      </c>
      <c r="I11" s="21">
        <f t="shared" si="4"/>
        <v>8800</v>
      </c>
      <c r="J11" s="22">
        <f t="shared" ref="J11:J37" si="17">I11/$C$7</f>
        <v>104.76190476190476</v>
      </c>
      <c r="L11" s="27"/>
      <c r="M11" s="20">
        <v>4</v>
      </c>
      <c r="N11" s="20" t="s">
        <v>62</v>
      </c>
      <c r="O11" s="21">
        <f t="shared" si="5"/>
        <v>4000</v>
      </c>
      <c r="P11" s="22">
        <f t="shared" si="6"/>
        <v>47.61904761904762</v>
      </c>
      <c r="Q11" s="21">
        <f t="shared" si="7"/>
        <v>4800</v>
      </c>
      <c r="R11" s="22">
        <f t="shared" si="8"/>
        <v>57.142857142857146</v>
      </c>
      <c r="S11" s="21">
        <f t="shared" si="9"/>
        <v>8800</v>
      </c>
      <c r="T11" s="22">
        <f t="shared" si="10"/>
        <v>104.76190476190476</v>
      </c>
      <c r="V11" s="27"/>
      <c r="W11" s="20">
        <v>4</v>
      </c>
      <c r="X11" s="20" t="s">
        <v>62</v>
      </c>
      <c r="Y11" s="21">
        <f t="shared" si="11"/>
        <v>3200</v>
      </c>
      <c r="Z11" s="22">
        <f t="shared" si="12"/>
        <v>38.095238095238095</v>
      </c>
      <c r="AA11" s="21">
        <f t="shared" si="13"/>
        <v>4000</v>
      </c>
      <c r="AB11" s="22">
        <f t="shared" si="14"/>
        <v>47.61904761904762</v>
      </c>
      <c r="AC11" s="21">
        <f t="shared" si="15"/>
        <v>6400</v>
      </c>
      <c r="AD11" s="22">
        <f t="shared" si="16"/>
        <v>76.19047619047619</v>
      </c>
    </row>
    <row r="12" spans="2:30" x14ac:dyDescent="0.3">
      <c r="B12" s="120"/>
      <c r="C12" s="20">
        <v>5</v>
      </c>
      <c r="D12" s="20" t="s">
        <v>62</v>
      </c>
      <c r="E12" s="21">
        <f t="shared" si="0"/>
        <v>5000</v>
      </c>
      <c r="F12" s="22">
        <f t="shared" si="1"/>
        <v>59.523809523809526</v>
      </c>
      <c r="G12" s="21">
        <f t="shared" si="2"/>
        <v>6000</v>
      </c>
      <c r="H12" s="22">
        <f t="shared" si="3"/>
        <v>71.428571428571431</v>
      </c>
      <c r="I12" s="21">
        <f t="shared" si="4"/>
        <v>11000</v>
      </c>
      <c r="J12" s="22">
        <f t="shared" si="17"/>
        <v>130.95238095238096</v>
      </c>
      <c r="L12" s="27"/>
      <c r="M12" s="20">
        <v>5</v>
      </c>
      <c r="N12" s="20" t="s">
        <v>62</v>
      </c>
      <c r="O12" s="21">
        <f t="shared" si="5"/>
        <v>5000</v>
      </c>
      <c r="P12" s="22">
        <f t="shared" si="6"/>
        <v>59.523809523809526</v>
      </c>
      <c r="Q12" s="21">
        <f t="shared" si="7"/>
        <v>6000</v>
      </c>
      <c r="R12" s="22">
        <f t="shared" si="8"/>
        <v>71.428571428571431</v>
      </c>
      <c r="S12" s="21">
        <f t="shared" si="9"/>
        <v>11000</v>
      </c>
      <c r="T12" s="22">
        <f t="shared" si="10"/>
        <v>130.95238095238096</v>
      </c>
      <c r="V12" s="27"/>
      <c r="W12" s="20">
        <v>5</v>
      </c>
      <c r="X12" s="20" t="s">
        <v>62</v>
      </c>
      <c r="Y12" s="21">
        <f t="shared" si="11"/>
        <v>4000</v>
      </c>
      <c r="Z12" s="22">
        <f t="shared" si="12"/>
        <v>47.61904761904762</v>
      </c>
      <c r="AA12" s="21">
        <f t="shared" si="13"/>
        <v>5000</v>
      </c>
      <c r="AB12" s="22">
        <f t="shared" si="14"/>
        <v>59.523809523809526</v>
      </c>
      <c r="AC12" s="21">
        <f t="shared" si="15"/>
        <v>8000</v>
      </c>
      <c r="AD12" s="22">
        <f t="shared" si="16"/>
        <v>95.238095238095241</v>
      </c>
    </row>
    <row r="13" spans="2:30" x14ac:dyDescent="0.3">
      <c r="B13" s="34" t="s">
        <v>32</v>
      </c>
      <c r="C13" s="23">
        <v>6</v>
      </c>
      <c r="D13" s="23" t="s">
        <v>62</v>
      </c>
      <c r="E13" s="21">
        <f>$E$8*C13</f>
        <v>6000</v>
      </c>
      <c r="F13" s="22">
        <f>E13/$C$7</f>
        <v>71.428571428571431</v>
      </c>
      <c r="G13" s="21">
        <f>$G$8*C13</f>
        <v>7200</v>
      </c>
      <c r="H13" s="22">
        <f t="shared" si="3"/>
        <v>85.714285714285708</v>
      </c>
      <c r="I13" s="24">
        <f>$I$8*C13</f>
        <v>13200</v>
      </c>
      <c r="J13" s="25">
        <f t="shared" si="17"/>
        <v>157.14285714285714</v>
      </c>
      <c r="M13" s="20">
        <v>6</v>
      </c>
      <c r="N13" s="20" t="s">
        <v>62</v>
      </c>
      <c r="O13" s="21">
        <f t="shared" si="5"/>
        <v>6000</v>
      </c>
      <c r="P13" s="22">
        <f t="shared" si="6"/>
        <v>71.428571428571431</v>
      </c>
      <c r="Q13" s="21">
        <f t="shared" si="7"/>
        <v>7200</v>
      </c>
      <c r="R13" s="22">
        <f t="shared" si="8"/>
        <v>85.714285714285708</v>
      </c>
      <c r="S13" s="21">
        <f t="shared" si="9"/>
        <v>13200</v>
      </c>
      <c r="T13" s="22">
        <f t="shared" si="10"/>
        <v>157.14285714285714</v>
      </c>
      <c r="W13" s="20">
        <v>6</v>
      </c>
      <c r="X13" s="20" t="s">
        <v>62</v>
      </c>
      <c r="Y13" s="21">
        <f t="shared" si="11"/>
        <v>4800</v>
      </c>
      <c r="Z13" s="22">
        <f t="shared" si="12"/>
        <v>57.142857142857146</v>
      </c>
      <c r="AA13" s="21">
        <f t="shared" si="13"/>
        <v>6000</v>
      </c>
      <c r="AB13" s="22">
        <f t="shared" si="14"/>
        <v>71.428571428571431</v>
      </c>
      <c r="AC13" s="21">
        <f t="shared" si="15"/>
        <v>9600</v>
      </c>
      <c r="AD13" s="22">
        <f t="shared" si="16"/>
        <v>114.28571428571429</v>
      </c>
    </row>
    <row r="14" spans="2:30" x14ac:dyDescent="0.3">
      <c r="B14" s="120">
        <f>I13/C13</f>
        <v>2200</v>
      </c>
      <c r="C14" s="20">
        <v>7</v>
      </c>
      <c r="D14" s="20" t="s">
        <v>62</v>
      </c>
      <c r="E14" s="21">
        <f t="shared" si="0"/>
        <v>7000</v>
      </c>
      <c r="F14" s="22">
        <f t="shared" si="1"/>
        <v>83.333333333333329</v>
      </c>
      <c r="G14" s="21">
        <f t="shared" si="2"/>
        <v>8400</v>
      </c>
      <c r="H14" s="22">
        <f t="shared" si="3"/>
        <v>100</v>
      </c>
      <c r="I14" s="21">
        <f t="shared" si="4"/>
        <v>15400</v>
      </c>
      <c r="J14" s="22">
        <f t="shared" si="17"/>
        <v>183.33333333333334</v>
      </c>
      <c r="L14" s="34" t="s">
        <v>33</v>
      </c>
      <c r="M14" s="23">
        <v>7</v>
      </c>
      <c r="N14" s="23" t="s">
        <v>62</v>
      </c>
      <c r="O14" s="21">
        <f t="shared" si="5"/>
        <v>7000</v>
      </c>
      <c r="P14" s="22">
        <f t="shared" si="6"/>
        <v>83.333333333333329</v>
      </c>
      <c r="Q14" s="24">
        <f t="shared" si="7"/>
        <v>8400</v>
      </c>
      <c r="R14" s="25">
        <f t="shared" si="8"/>
        <v>100</v>
      </c>
      <c r="S14" s="21">
        <f t="shared" si="9"/>
        <v>15400</v>
      </c>
      <c r="T14" s="22">
        <f t="shared" si="10"/>
        <v>183.33333333333334</v>
      </c>
      <c r="V14" s="34" t="s">
        <v>34</v>
      </c>
      <c r="W14" s="23">
        <v>7</v>
      </c>
      <c r="X14" s="23" t="s">
        <v>62</v>
      </c>
      <c r="Y14" s="21">
        <f t="shared" si="11"/>
        <v>5600</v>
      </c>
      <c r="Z14" s="22">
        <f t="shared" si="12"/>
        <v>66.666666666666671</v>
      </c>
      <c r="AA14" s="21">
        <f t="shared" si="13"/>
        <v>7000</v>
      </c>
      <c r="AB14" s="22">
        <f t="shared" si="14"/>
        <v>83.333333333333329</v>
      </c>
      <c r="AC14" s="24">
        <f t="shared" si="15"/>
        <v>11200</v>
      </c>
      <c r="AD14" s="25">
        <f t="shared" si="16"/>
        <v>133.33333333333334</v>
      </c>
    </row>
    <row r="15" spans="2:30" x14ac:dyDescent="0.3">
      <c r="B15" s="27"/>
      <c r="C15" s="20">
        <v>8</v>
      </c>
      <c r="D15" s="20" t="s">
        <v>62</v>
      </c>
      <c r="E15" s="21">
        <f t="shared" si="0"/>
        <v>8000</v>
      </c>
      <c r="F15" s="22">
        <f t="shared" si="1"/>
        <v>95.238095238095241</v>
      </c>
      <c r="G15" s="21">
        <f t="shared" si="2"/>
        <v>9600</v>
      </c>
      <c r="H15" s="22">
        <f t="shared" si="3"/>
        <v>114.28571428571429</v>
      </c>
      <c r="I15" s="21">
        <f t="shared" si="4"/>
        <v>17600</v>
      </c>
      <c r="J15" s="22">
        <f t="shared" si="17"/>
        <v>209.52380952380952</v>
      </c>
      <c r="L15" s="27"/>
      <c r="M15" s="20">
        <v>8</v>
      </c>
      <c r="N15" s="20" t="s">
        <v>62</v>
      </c>
      <c r="O15" s="21">
        <f t="shared" si="5"/>
        <v>8000</v>
      </c>
      <c r="P15" s="22">
        <f t="shared" si="6"/>
        <v>95.238095238095241</v>
      </c>
      <c r="Q15" s="21">
        <f t="shared" si="7"/>
        <v>9600</v>
      </c>
      <c r="R15" s="22">
        <f t="shared" si="8"/>
        <v>114.28571428571429</v>
      </c>
      <c r="S15" s="21">
        <f>$S$8*M15</f>
        <v>17600</v>
      </c>
      <c r="T15" s="22">
        <f>S15/$M$7</f>
        <v>209.52380952380952</v>
      </c>
      <c r="V15" s="27"/>
      <c r="W15" s="20">
        <v>8</v>
      </c>
      <c r="X15" s="20" t="s">
        <v>62</v>
      </c>
      <c r="Y15" s="21">
        <f t="shared" si="11"/>
        <v>6400</v>
      </c>
      <c r="Z15" s="22">
        <f t="shared" si="12"/>
        <v>76.19047619047619</v>
      </c>
      <c r="AA15" s="21">
        <f t="shared" si="13"/>
        <v>8000</v>
      </c>
      <c r="AB15" s="22">
        <f t="shared" si="14"/>
        <v>95.238095238095241</v>
      </c>
      <c r="AC15" s="21">
        <f t="shared" si="15"/>
        <v>12800</v>
      </c>
      <c r="AD15" s="22">
        <f t="shared" si="16"/>
        <v>152.38095238095238</v>
      </c>
    </row>
    <row r="16" spans="2:30" x14ac:dyDescent="0.3">
      <c r="B16" s="27"/>
      <c r="C16" s="20">
        <v>9</v>
      </c>
      <c r="D16" s="20" t="s">
        <v>62</v>
      </c>
      <c r="E16" s="21">
        <f t="shared" si="0"/>
        <v>9000</v>
      </c>
      <c r="F16" s="22">
        <f t="shared" si="1"/>
        <v>107.14285714285714</v>
      </c>
      <c r="G16" s="21">
        <f t="shared" si="2"/>
        <v>10800</v>
      </c>
      <c r="H16" s="22">
        <f t="shared" si="3"/>
        <v>128.57142857142858</v>
      </c>
      <c r="I16" s="21">
        <f t="shared" si="4"/>
        <v>19800</v>
      </c>
      <c r="J16" s="22">
        <f t="shared" si="17"/>
        <v>235.71428571428572</v>
      </c>
      <c r="L16" s="34" t="s">
        <v>35</v>
      </c>
      <c r="M16" s="23">
        <v>9</v>
      </c>
      <c r="N16" s="23" t="s">
        <v>62</v>
      </c>
      <c r="O16" s="21">
        <f t="shared" si="5"/>
        <v>9000</v>
      </c>
      <c r="P16" s="22">
        <f t="shared" si="6"/>
        <v>107.14285714285714</v>
      </c>
      <c r="Q16" s="21">
        <f t="shared" si="7"/>
        <v>10800</v>
      </c>
      <c r="R16" s="22">
        <f t="shared" si="8"/>
        <v>128.57142857142858</v>
      </c>
      <c r="S16" s="24">
        <f t="shared" si="9"/>
        <v>19800</v>
      </c>
      <c r="T16" s="25">
        <f t="shared" si="10"/>
        <v>235.71428571428572</v>
      </c>
      <c r="V16" s="27"/>
      <c r="W16" s="20">
        <v>9</v>
      </c>
      <c r="X16" s="20" t="s">
        <v>62</v>
      </c>
      <c r="Y16" s="21">
        <f t="shared" si="11"/>
        <v>7200</v>
      </c>
      <c r="Z16" s="22">
        <f t="shared" si="12"/>
        <v>85.714285714285708</v>
      </c>
      <c r="AA16" s="21">
        <f t="shared" si="13"/>
        <v>9000</v>
      </c>
      <c r="AB16" s="22">
        <f t="shared" si="14"/>
        <v>107.14285714285714</v>
      </c>
      <c r="AC16" s="21">
        <f t="shared" si="15"/>
        <v>14400</v>
      </c>
      <c r="AD16" s="22">
        <f t="shared" si="16"/>
        <v>171.42857142857142</v>
      </c>
    </row>
    <row r="17" spans="2:30" x14ac:dyDescent="0.3">
      <c r="B17" s="27"/>
      <c r="C17" s="20">
        <v>10</v>
      </c>
      <c r="D17" s="20" t="s">
        <v>62</v>
      </c>
      <c r="E17" s="21">
        <f t="shared" si="0"/>
        <v>10000</v>
      </c>
      <c r="F17" s="22">
        <f t="shared" si="1"/>
        <v>119.04761904761905</v>
      </c>
      <c r="G17" s="21">
        <f t="shared" si="2"/>
        <v>12000</v>
      </c>
      <c r="H17" s="22">
        <f t="shared" si="3"/>
        <v>142.85714285714286</v>
      </c>
      <c r="I17" s="21">
        <f t="shared" si="4"/>
        <v>22000</v>
      </c>
      <c r="J17" s="22">
        <f t="shared" si="17"/>
        <v>261.90476190476193</v>
      </c>
      <c r="L17" s="27"/>
      <c r="M17" s="20">
        <v>10</v>
      </c>
      <c r="N17" s="20" t="s">
        <v>62</v>
      </c>
      <c r="O17" s="21">
        <f t="shared" si="5"/>
        <v>10000</v>
      </c>
      <c r="P17" s="22">
        <f t="shared" si="6"/>
        <v>119.04761904761905</v>
      </c>
      <c r="Q17" s="21">
        <f t="shared" si="7"/>
        <v>12000</v>
      </c>
      <c r="R17" s="22">
        <f t="shared" si="8"/>
        <v>142.85714285714286</v>
      </c>
      <c r="S17" s="21">
        <f t="shared" si="9"/>
        <v>22000</v>
      </c>
      <c r="T17" s="22">
        <f t="shared" si="10"/>
        <v>261.90476190476193</v>
      </c>
      <c r="V17" s="27"/>
      <c r="W17" s="20">
        <v>10</v>
      </c>
      <c r="X17" s="20" t="s">
        <v>62</v>
      </c>
      <c r="Y17" s="21">
        <f t="shared" si="11"/>
        <v>8000</v>
      </c>
      <c r="Z17" s="22">
        <f t="shared" si="12"/>
        <v>95.238095238095241</v>
      </c>
      <c r="AA17" s="21">
        <f t="shared" si="13"/>
        <v>10000</v>
      </c>
      <c r="AB17" s="22">
        <f t="shared" si="14"/>
        <v>119.04761904761905</v>
      </c>
      <c r="AC17" s="21">
        <f t="shared" si="15"/>
        <v>16000</v>
      </c>
      <c r="AD17" s="22">
        <f t="shared" si="16"/>
        <v>190.47619047619048</v>
      </c>
    </row>
    <row r="18" spans="2:30" x14ac:dyDescent="0.3">
      <c r="B18" s="27"/>
      <c r="C18" s="20">
        <v>11</v>
      </c>
      <c r="D18" s="20" t="s">
        <v>62</v>
      </c>
      <c r="E18" s="21">
        <f t="shared" si="0"/>
        <v>11000</v>
      </c>
      <c r="F18" s="22">
        <f t="shared" si="1"/>
        <v>130.95238095238096</v>
      </c>
      <c r="G18" s="21">
        <f t="shared" si="2"/>
        <v>13200</v>
      </c>
      <c r="H18" s="22">
        <f t="shared" si="3"/>
        <v>157.14285714285714</v>
      </c>
      <c r="I18" s="21">
        <f t="shared" si="4"/>
        <v>24200</v>
      </c>
      <c r="J18" s="22">
        <f t="shared" si="17"/>
        <v>288.09523809523807</v>
      </c>
      <c r="L18" s="27"/>
      <c r="M18" s="20">
        <v>11</v>
      </c>
      <c r="N18" s="20" t="s">
        <v>62</v>
      </c>
      <c r="O18" s="21">
        <f t="shared" si="5"/>
        <v>11000</v>
      </c>
      <c r="P18" s="22">
        <f t="shared" si="6"/>
        <v>130.95238095238096</v>
      </c>
      <c r="Q18" s="21">
        <f t="shared" si="7"/>
        <v>13200</v>
      </c>
      <c r="R18" s="22">
        <f t="shared" si="8"/>
        <v>157.14285714285714</v>
      </c>
      <c r="S18" s="21">
        <f t="shared" si="9"/>
        <v>24200</v>
      </c>
      <c r="T18" s="22">
        <f t="shared" si="10"/>
        <v>288.09523809523807</v>
      </c>
      <c r="V18" s="27"/>
      <c r="W18" s="20">
        <v>11</v>
      </c>
      <c r="X18" s="20" t="s">
        <v>62</v>
      </c>
      <c r="Y18" s="21">
        <f t="shared" si="11"/>
        <v>8800</v>
      </c>
      <c r="Z18" s="22">
        <f t="shared" si="12"/>
        <v>104.76190476190476</v>
      </c>
      <c r="AA18" s="21">
        <f t="shared" si="13"/>
        <v>11000</v>
      </c>
      <c r="AB18" s="22">
        <f t="shared" si="14"/>
        <v>130.95238095238096</v>
      </c>
      <c r="AC18" s="21">
        <f t="shared" si="15"/>
        <v>17600</v>
      </c>
      <c r="AD18" s="22">
        <f t="shared" si="16"/>
        <v>209.52380952380952</v>
      </c>
    </row>
    <row r="19" spans="2:30" x14ac:dyDescent="0.3">
      <c r="B19" s="27"/>
      <c r="C19" s="20">
        <v>12</v>
      </c>
      <c r="D19" s="20" t="s">
        <v>62</v>
      </c>
      <c r="E19" s="21">
        <f t="shared" si="0"/>
        <v>12000</v>
      </c>
      <c r="F19" s="22">
        <f t="shared" si="1"/>
        <v>142.85714285714286</v>
      </c>
      <c r="G19" s="21">
        <f t="shared" si="2"/>
        <v>14400</v>
      </c>
      <c r="H19" s="22">
        <f t="shared" si="3"/>
        <v>171.42857142857142</v>
      </c>
      <c r="I19" s="21">
        <f t="shared" si="4"/>
        <v>26400</v>
      </c>
      <c r="J19" s="22">
        <f t="shared" si="17"/>
        <v>314.28571428571428</v>
      </c>
      <c r="L19" s="27"/>
      <c r="M19" s="20">
        <v>12</v>
      </c>
      <c r="N19" s="20" t="s">
        <v>62</v>
      </c>
      <c r="O19" s="21">
        <f t="shared" si="5"/>
        <v>12000</v>
      </c>
      <c r="P19" s="22">
        <f t="shared" si="6"/>
        <v>142.85714285714286</v>
      </c>
      <c r="Q19" s="21">
        <f t="shared" si="7"/>
        <v>14400</v>
      </c>
      <c r="R19" s="22">
        <f t="shared" si="8"/>
        <v>171.42857142857142</v>
      </c>
      <c r="S19" s="21">
        <f t="shared" si="9"/>
        <v>26400</v>
      </c>
      <c r="T19" s="22">
        <f t="shared" si="10"/>
        <v>314.28571428571428</v>
      </c>
      <c r="V19" s="27"/>
      <c r="W19" s="20">
        <v>12</v>
      </c>
      <c r="X19" s="20" t="s">
        <v>62</v>
      </c>
      <c r="Y19" s="21">
        <f t="shared" si="11"/>
        <v>9600</v>
      </c>
      <c r="Z19" s="22">
        <f t="shared" si="12"/>
        <v>114.28571428571429</v>
      </c>
      <c r="AA19" s="21">
        <f t="shared" si="13"/>
        <v>12000</v>
      </c>
      <c r="AB19" s="22">
        <f t="shared" si="14"/>
        <v>142.85714285714286</v>
      </c>
      <c r="AC19" s="21">
        <f t="shared" si="15"/>
        <v>19200</v>
      </c>
      <c r="AD19" s="22">
        <f t="shared" si="16"/>
        <v>228.57142857142858</v>
      </c>
    </row>
    <row r="20" spans="2:30" x14ac:dyDescent="0.3">
      <c r="B20" s="27"/>
      <c r="C20" s="20">
        <v>13</v>
      </c>
      <c r="D20" s="20" t="s">
        <v>62</v>
      </c>
      <c r="E20" s="21">
        <f t="shared" si="0"/>
        <v>13000</v>
      </c>
      <c r="F20" s="22">
        <f t="shared" si="1"/>
        <v>154.76190476190476</v>
      </c>
      <c r="G20" s="21">
        <f t="shared" si="2"/>
        <v>15600</v>
      </c>
      <c r="H20" s="22">
        <f t="shared" si="3"/>
        <v>185.71428571428572</v>
      </c>
      <c r="I20" s="21">
        <f t="shared" si="4"/>
        <v>28600</v>
      </c>
      <c r="J20" s="22">
        <f t="shared" si="17"/>
        <v>340.47619047619048</v>
      </c>
      <c r="M20" s="20">
        <v>13</v>
      </c>
      <c r="N20" s="20" t="s">
        <v>62</v>
      </c>
      <c r="O20" s="21">
        <f t="shared" si="5"/>
        <v>13000</v>
      </c>
      <c r="P20" s="22">
        <f t="shared" si="6"/>
        <v>154.76190476190476</v>
      </c>
      <c r="Q20" s="21">
        <f t="shared" si="7"/>
        <v>15600</v>
      </c>
      <c r="R20" s="22">
        <f t="shared" si="8"/>
        <v>185.71428571428572</v>
      </c>
      <c r="S20" s="21">
        <f t="shared" si="9"/>
        <v>28600</v>
      </c>
      <c r="T20" s="22">
        <f t="shared" si="10"/>
        <v>340.47619047619048</v>
      </c>
      <c r="V20" s="27"/>
      <c r="W20" s="20">
        <v>13</v>
      </c>
      <c r="X20" s="20" t="s">
        <v>62</v>
      </c>
      <c r="Y20" s="21">
        <f t="shared" si="11"/>
        <v>10400</v>
      </c>
      <c r="Z20" s="22">
        <f t="shared" si="12"/>
        <v>123.80952380952381</v>
      </c>
      <c r="AA20" s="21">
        <f t="shared" si="13"/>
        <v>13000</v>
      </c>
      <c r="AB20" s="22">
        <f t="shared" si="14"/>
        <v>154.76190476190476</v>
      </c>
      <c r="AC20" s="21">
        <f t="shared" si="15"/>
        <v>20800</v>
      </c>
      <c r="AD20" s="22">
        <f t="shared" si="16"/>
        <v>247.61904761904762</v>
      </c>
    </row>
    <row r="21" spans="2:30" x14ac:dyDescent="0.3">
      <c r="B21" s="27"/>
      <c r="C21" s="20">
        <v>14</v>
      </c>
      <c r="D21" s="20" t="s">
        <v>62</v>
      </c>
      <c r="E21" s="21">
        <f t="shared" si="0"/>
        <v>14000</v>
      </c>
      <c r="F21" s="22">
        <f t="shared" si="1"/>
        <v>166.66666666666666</v>
      </c>
      <c r="G21" s="21">
        <f t="shared" si="2"/>
        <v>16800</v>
      </c>
      <c r="H21" s="22">
        <f t="shared" si="3"/>
        <v>200</v>
      </c>
      <c r="I21" s="21">
        <f t="shared" si="4"/>
        <v>30800</v>
      </c>
      <c r="J21" s="22">
        <f t="shared" si="17"/>
        <v>366.66666666666669</v>
      </c>
      <c r="L21" s="27"/>
      <c r="M21" s="20">
        <v>14</v>
      </c>
      <c r="N21" s="20" t="s">
        <v>62</v>
      </c>
      <c r="O21" s="21">
        <f t="shared" si="5"/>
        <v>14000</v>
      </c>
      <c r="P21" s="22">
        <f t="shared" si="6"/>
        <v>166.66666666666666</v>
      </c>
      <c r="Q21" s="21">
        <f t="shared" si="7"/>
        <v>16800</v>
      </c>
      <c r="R21" s="22">
        <f t="shared" si="8"/>
        <v>200</v>
      </c>
      <c r="S21" s="21">
        <f t="shared" si="9"/>
        <v>30800</v>
      </c>
      <c r="T21" s="22">
        <f t="shared" si="10"/>
        <v>366.66666666666669</v>
      </c>
      <c r="V21" s="27"/>
      <c r="W21" s="20">
        <v>14</v>
      </c>
      <c r="X21" s="20" t="s">
        <v>62</v>
      </c>
      <c r="Y21" s="21">
        <f t="shared" si="11"/>
        <v>11200</v>
      </c>
      <c r="Z21" s="22">
        <f t="shared" si="12"/>
        <v>133.33333333333334</v>
      </c>
      <c r="AA21" s="21">
        <f t="shared" si="13"/>
        <v>14000</v>
      </c>
      <c r="AB21" s="22">
        <f t="shared" si="14"/>
        <v>166.66666666666666</v>
      </c>
      <c r="AC21" s="21">
        <f t="shared" si="15"/>
        <v>22400</v>
      </c>
      <c r="AD21" s="22">
        <f t="shared" si="16"/>
        <v>266.66666666666669</v>
      </c>
    </row>
    <row r="22" spans="2:30" x14ac:dyDescent="0.3">
      <c r="B22" s="27"/>
      <c r="C22" s="20">
        <v>15</v>
      </c>
      <c r="D22" s="20" t="s">
        <v>62</v>
      </c>
      <c r="E22" s="21">
        <f t="shared" si="0"/>
        <v>15000</v>
      </c>
      <c r="F22" s="22">
        <f t="shared" si="1"/>
        <v>178.57142857142858</v>
      </c>
      <c r="G22" s="21">
        <f t="shared" si="2"/>
        <v>18000</v>
      </c>
      <c r="H22" s="22">
        <f t="shared" si="3"/>
        <v>214.28571428571428</v>
      </c>
      <c r="I22" s="21">
        <f t="shared" si="4"/>
        <v>33000</v>
      </c>
      <c r="J22" s="22">
        <f t="shared" si="17"/>
        <v>392.85714285714283</v>
      </c>
      <c r="L22" s="27"/>
      <c r="M22" s="20">
        <v>15</v>
      </c>
      <c r="N22" s="20" t="s">
        <v>62</v>
      </c>
      <c r="O22" s="21">
        <f t="shared" si="5"/>
        <v>15000</v>
      </c>
      <c r="P22" s="22">
        <f t="shared" si="6"/>
        <v>178.57142857142858</v>
      </c>
      <c r="Q22" s="21">
        <f t="shared" si="7"/>
        <v>18000</v>
      </c>
      <c r="R22" s="22">
        <f t="shared" si="8"/>
        <v>214.28571428571428</v>
      </c>
      <c r="S22" s="21">
        <f t="shared" si="9"/>
        <v>33000</v>
      </c>
      <c r="T22" s="22">
        <f t="shared" si="10"/>
        <v>392.85714285714283</v>
      </c>
      <c r="V22" s="27"/>
      <c r="W22" s="20">
        <v>15</v>
      </c>
      <c r="X22" s="20" t="s">
        <v>62</v>
      </c>
      <c r="Y22" s="21">
        <f t="shared" si="11"/>
        <v>12000</v>
      </c>
      <c r="Z22" s="22">
        <f t="shared" si="12"/>
        <v>142.85714285714286</v>
      </c>
      <c r="AA22" s="21">
        <f t="shared" si="13"/>
        <v>15000</v>
      </c>
      <c r="AB22" s="22">
        <f t="shared" si="14"/>
        <v>178.57142857142858</v>
      </c>
      <c r="AC22" s="21">
        <f t="shared" si="15"/>
        <v>24000</v>
      </c>
      <c r="AD22" s="22">
        <f t="shared" si="16"/>
        <v>285.71428571428572</v>
      </c>
    </row>
    <row r="23" spans="2:30" x14ac:dyDescent="0.3">
      <c r="B23" s="27"/>
      <c r="C23" s="20">
        <v>16</v>
      </c>
      <c r="D23" s="20" t="s">
        <v>62</v>
      </c>
      <c r="E23" s="21">
        <f t="shared" si="0"/>
        <v>16000</v>
      </c>
      <c r="F23" s="22">
        <f t="shared" si="1"/>
        <v>190.47619047619048</v>
      </c>
      <c r="G23" s="21">
        <f t="shared" si="2"/>
        <v>19200</v>
      </c>
      <c r="H23" s="22">
        <f t="shared" si="3"/>
        <v>228.57142857142858</v>
      </c>
      <c r="I23" s="21">
        <f t="shared" si="4"/>
        <v>35200</v>
      </c>
      <c r="J23" s="22">
        <f t="shared" si="17"/>
        <v>419.04761904761904</v>
      </c>
      <c r="L23" s="27"/>
      <c r="M23" s="20">
        <v>16</v>
      </c>
      <c r="N23" s="20" t="s">
        <v>62</v>
      </c>
      <c r="O23" s="21">
        <f t="shared" si="5"/>
        <v>16000</v>
      </c>
      <c r="P23" s="22">
        <f t="shared" si="6"/>
        <v>190.47619047619048</v>
      </c>
      <c r="Q23" s="21">
        <f t="shared" si="7"/>
        <v>19200</v>
      </c>
      <c r="R23" s="22">
        <f t="shared" si="8"/>
        <v>228.57142857142858</v>
      </c>
      <c r="S23" s="21">
        <f t="shared" si="9"/>
        <v>35200</v>
      </c>
      <c r="T23" s="22">
        <f t="shared" si="10"/>
        <v>419.04761904761904</v>
      </c>
      <c r="V23" s="27"/>
      <c r="W23" s="20">
        <v>16</v>
      </c>
      <c r="X23" s="20" t="s">
        <v>62</v>
      </c>
      <c r="Y23" s="21">
        <f t="shared" si="11"/>
        <v>12800</v>
      </c>
      <c r="Z23" s="22">
        <f t="shared" si="12"/>
        <v>152.38095238095238</v>
      </c>
      <c r="AA23" s="21">
        <f t="shared" si="13"/>
        <v>16000</v>
      </c>
      <c r="AB23" s="22">
        <f t="shared" si="14"/>
        <v>190.47619047619048</v>
      </c>
      <c r="AC23" s="21">
        <f t="shared" si="15"/>
        <v>25600</v>
      </c>
      <c r="AD23" s="22">
        <f t="shared" si="16"/>
        <v>304.76190476190476</v>
      </c>
    </row>
    <row r="24" spans="2:30" x14ac:dyDescent="0.3">
      <c r="B24" s="27"/>
      <c r="C24" s="20">
        <v>17</v>
      </c>
      <c r="D24" s="20" t="s">
        <v>62</v>
      </c>
      <c r="E24" s="21">
        <f t="shared" si="0"/>
        <v>17000</v>
      </c>
      <c r="F24" s="22">
        <f t="shared" si="1"/>
        <v>202.38095238095238</v>
      </c>
      <c r="G24" s="21">
        <f t="shared" si="2"/>
        <v>20400</v>
      </c>
      <c r="H24" s="22">
        <f t="shared" si="3"/>
        <v>242.85714285714286</v>
      </c>
      <c r="I24" s="21">
        <f t="shared" si="4"/>
        <v>37400</v>
      </c>
      <c r="J24" s="22">
        <f t="shared" si="17"/>
        <v>445.23809523809524</v>
      </c>
      <c r="L24" s="27"/>
      <c r="M24" s="20">
        <v>17</v>
      </c>
      <c r="N24" s="20" t="s">
        <v>62</v>
      </c>
      <c r="O24" s="21">
        <f t="shared" si="5"/>
        <v>17000</v>
      </c>
      <c r="P24" s="22">
        <f t="shared" si="6"/>
        <v>202.38095238095238</v>
      </c>
      <c r="Q24" s="21">
        <f t="shared" si="7"/>
        <v>20400</v>
      </c>
      <c r="R24" s="22">
        <f t="shared" si="8"/>
        <v>242.85714285714286</v>
      </c>
      <c r="S24" s="21">
        <f t="shared" si="9"/>
        <v>37400</v>
      </c>
      <c r="T24" s="22">
        <f t="shared" si="10"/>
        <v>445.23809523809524</v>
      </c>
      <c r="V24" s="27"/>
      <c r="W24" s="20">
        <v>17</v>
      </c>
      <c r="X24" s="20" t="s">
        <v>62</v>
      </c>
      <c r="Y24" s="21">
        <f t="shared" si="11"/>
        <v>13600</v>
      </c>
      <c r="Z24" s="22">
        <f t="shared" si="12"/>
        <v>161.9047619047619</v>
      </c>
      <c r="AA24" s="21">
        <f t="shared" si="13"/>
        <v>17000</v>
      </c>
      <c r="AB24" s="22">
        <f t="shared" si="14"/>
        <v>202.38095238095238</v>
      </c>
      <c r="AC24" s="21">
        <f t="shared" si="15"/>
        <v>27200</v>
      </c>
      <c r="AD24" s="22">
        <f t="shared" si="16"/>
        <v>323.8095238095238</v>
      </c>
    </row>
    <row r="25" spans="2:30" x14ac:dyDescent="0.3">
      <c r="B25" s="27"/>
      <c r="C25" s="20">
        <v>18</v>
      </c>
      <c r="D25" s="20" t="s">
        <v>62</v>
      </c>
      <c r="E25" s="21">
        <f t="shared" si="0"/>
        <v>18000</v>
      </c>
      <c r="F25" s="22">
        <f t="shared" si="1"/>
        <v>214.28571428571428</v>
      </c>
      <c r="G25" s="21">
        <f t="shared" si="2"/>
        <v>21600</v>
      </c>
      <c r="H25" s="22">
        <f t="shared" si="3"/>
        <v>257.14285714285717</v>
      </c>
      <c r="I25" s="21">
        <f t="shared" si="4"/>
        <v>39600</v>
      </c>
      <c r="J25" s="22">
        <f t="shared" si="17"/>
        <v>471.42857142857144</v>
      </c>
      <c r="L25" s="27"/>
      <c r="M25" s="20">
        <v>18</v>
      </c>
      <c r="N25" s="20" t="s">
        <v>62</v>
      </c>
      <c r="O25" s="21">
        <f t="shared" si="5"/>
        <v>18000</v>
      </c>
      <c r="P25" s="22">
        <f t="shared" si="6"/>
        <v>214.28571428571428</v>
      </c>
      <c r="Q25" s="21">
        <f t="shared" si="7"/>
        <v>21600</v>
      </c>
      <c r="R25" s="22">
        <f t="shared" si="8"/>
        <v>257.14285714285717</v>
      </c>
      <c r="S25" s="21">
        <f t="shared" si="9"/>
        <v>39600</v>
      </c>
      <c r="T25" s="22">
        <f t="shared" si="10"/>
        <v>471.42857142857144</v>
      </c>
      <c r="V25" s="27"/>
      <c r="W25" s="20">
        <v>18</v>
      </c>
      <c r="X25" s="20" t="s">
        <v>62</v>
      </c>
      <c r="Y25" s="21">
        <f t="shared" si="11"/>
        <v>14400</v>
      </c>
      <c r="Z25" s="22">
        <f t="shared" si="12"/>
        <v>171.42857142857142</v>
      </c>
      <c r="AA25" s="21">
        <f t="shared" si="13"/>
        <v>18000</v>
      </c>
      <c r="AB25" s="22">
        <f t="shared" si="14"/>
        <v>214.28571428571428</v>
      </c>
      <c r="AC25" s="21">
        <f t="shared" si="15"/>
        <v>28800</v>
      </c>
      <c r="AD25" s="22">
        <f t="shared" si="16"/>
        <v>342.85714285714283</v>
      </c>
    </row>
    <row r="26" spans="2:30" x14ac:dyDescent="0.3">
      <c r="B26" s="27"/>
      <c r="C26" s="20">
        <v>19</v>
      </c>
      <c r="D26" s="20" t="s">
        <v>62</v>
      </c>
      <c r="E26" s="21">
        <f t="shared" si="0"/>
        <v>19000</v>
      </c>
      <c r="F26" s="22">
        <f t="shared" si="1"/>
        <v>226.1904761904762</v>
      </c>
      <c r="G26" s="21">
        <f t="shared" si="2"/>
        <v>22800</v>
      </c>
      <c r="H26" s="22">
        <f t="shared" si="3"/>
        <v>271.42857142857144</v>
      </c>
      <c r="I26" s="21">
        <f t="shared" si="4"/>
        <v>41800</v>
      </c>
      <c r="J26" s="22">
        <f t="shared" si="17"/>
        <v>497.61904761904759</v>
      </c>
      <c r="L26" s="27"/>
      <c r="M26" s="20">
        <v>19</v>
      </c>
      <c r="N26" s="20" t="s">
        <v>62</v>
      </c>
      <c r="O26" s="21">
        <f t="shared" si="5"/>
        <v>19000</v>
      </c>
      <c r="P26" s="22">
        <f t="shared" si="6"/>
        <v>226.1904761904762</v>
      </c>
      <c r="Q26" s="21">
        <f t="shared" si="7"/>
        <v>22800</v>
      </c>
      <c r="R26" s="22">
        <f t="shared" si="8"/>
        <v>271.42857142857144</v>
      </c>
      <c r="S26" s="21">
        <f t="shared" si="9"/>
        <v>41800</v>
      </c>
      <c r="T26" s="22">
        <f t="shared" si="10"/>
        <v>497.61904761904759</v>
      </c>
      <c r="V26" s="27"/>
      <c r="W26" s="20">
        <v>19</v>
      </c>
      <c r="X26" s="20" t="s">
        <v>62</v>
      </c>
      <c r="Y26" s="21">
        <f t="shared" si="11"/>
        <v>15200</v>
      </c>
      <c r="Z26" s="22">
        <f t="shared" si="12"/>
        <v>180.95238095238096</v>
      </c>
      <c r="AA26" s="21">
        <f t="shared" si="13"/>
        <v>19000</v>
      </c>
      <c r="AB26" s="22">
        <f t="shared" si="14"/>
        <v>226.1904761904762</v>
      </c>
      <c r="AC26" s="21">
        <f t="shared" si="15"/>
        <v>30400</v>
      </c>
      <c r="AD26" s="22">
        <f t="shared" si="16"/>
        <v>361.90476190476193</v>
      </c>
    </row>
    <row r="27" spans="2:30" x14ac:dyDescent="0.3">
      <c r="B27" s="27"/>
      <c r="C27" s="20">
        <v>20</v>
      </c>
      <c r="D27" s="20" t="s">
        <v>62</v>
      </c>
      <c r="E27" s="21">
        <f t="shared" si="0"/>
        <v>20000</v>
      </c>
      <c r="F27" s="22">
        <f t="shared" si="1"/>
        <v>238.0952380952381</v>
      </c>
      <c r="G27" s="21">
        <f t="shared" si="2"/>
        <v>24000</v>
      </c>
      <c r="H27" s="22">
        <f t="shared" si="3"/>
        <v>285.71428571428572</v>
      </c>
      <c r="I27" s="21">
        <f t="shared" si="4"/>
        <v>44000</v>
      </c>
      <c r="J27" s="22">
        <f t="shared" si="17"/>
        <v>523.80952380952385</v>
      </c>
      <c r="L27" s="27"/>
      <c r="M27" s="20">
        <v>20</v>
      </c>
      <c r="N27" s="20" t="s">
        <v>62</v>
      </c>
      <c r="O27" s="21">
        <f t="shared" si="5"/>
        <v>20000</v>
      </c>
      <c r="P27" s="22">
        <f t="shared" si="6"/>
        <v>238.0952380952381</v>
      </c>
      <c r="Q27" s="21">
        <f t="shared" si="7"/>
        <v>24000</v>
      </c>
      <c r="R27" s="22">
        <f t="shared" si="8"/>
        <v>285.71428571428572</v>
      </c>
      <c r="S27" s="21">
        <f t="shared" si="9"/>
        <v>44000</v>
      </c>
      <c r="T27" s="22">
        <f t="shared" si="10"/>
        <v>523.80952380952385</v>
      </c>
      <c r="V27" s="27"/>
      <c r="W27" s="20">
        <v>20</v>
      </c>
      <c r="X27" s="20" t="s">
        <v>62</v>
      </c>
      <c r="Y27" s="21">
        <f t="shared" si="11"/>
        <v>16000</v>
      </c>
      <c r="Z27" s="22">
        <f t="shared" si="12"/>
        <v>190.47619047619048</v>
      </c>
      <c r="AA27" s="21">
        <f t="shared" si="13"/>
        <v>20000</v>
      </c>
      <c r="AB27" s="22">
        <f t="shared" si="14"/>
        <v>238.0952380952381</v>
      </c>
      <c r="AC27" s="21">
        <f t="shared" si="15"/>
        <v>32000</v>
      </c>
      <c r="AD27" s="22">
        <f t="shared" si="16"/>
        <v>380.95238095238096</v>
      </c>
    </row>
    <row r="28" spans="2:30" x14ac:dyDescent="0.3">
      <c r="B28" s="27"/>
      <c r="C28" s="20">
        <v>21</v>
      </c>
      <c r="D28" s="20" t="s">
        <v>62</v>
      </c>
      <c r="E28" s="21">
        <f t="shared" si="0"/>
        <v>21000</v>
      </c>
      <c r="F28" s="22">
        <f t="shared" si="1"/>
        <v>250</v>
      </c>
      <c r="G28" s="21">
        <f t="shared" si="2"/>
        <v>25200</v>
      </c>
      <c r="H28" s="22">
        <f t="shared" si="3"/>
        <v>300</v>
      </c>
      <c r="I28" s="21">
        <f t="shared" si="4"/>
        <v>46200</v>
      </c>
      <c r="J28" s="22">
        <f t="shared" si="17"/>
        <v>550</v>
      </c>
      <c r="L28" s="27"/>
      <c r="M28" s="20">
        <v>21</v>
      </c>
      <c r="N28" s="20" t="s">
        <v>62</v>
      </c>
      <c r="O28" s="21">
        <f t="shared" si="5"/>
        <v>21000</v>
      </c>
      <c r="P28" s="22">
        <f t="shared" si="6"/>
        <v>250</v>
      </c>
      <c r="Q28" s="21">
        <f t="shared" si="7"/>
        <v>25200</v>
      </c>
      <c r="R28" s="22">
        <f t="shared" si="8"/>
        <v>300</v>
      </c>
      <c r="S28" s="21">
        <f t="shared" si="9"/>
        <v>46200</v>
      </c>
      <c r="T28" s="22">
        <f t="shared" si="10"/>
        <v>550</v>
      </c>
      <c r="V28" s="27"/>
      <c r="W28" s="20">
        <v>21</v>
      </c>
      <c r="X28" s="20" t="s">
        <v>62</v>
      </c>
      <c r="Y28" s="21">
        <f t="shared" si="11"/>
        <v>16800</v>
      </c>
      <c r="Z28" s="22">
        <f t="shared" si="12"/>
        <v>200</v>
      </c>
      <c r="AA28" s="21">
        <f t="shared" si="13"/>
        <v>21000</v>
      </c>
      <c r="AB28" s="22">
        <f t="shared" si="14"/>
        <v>250</v>
      </c>
      <c r="AC28" s="21">
        <f t="shared" si="15"/>
        <v>33600</v>
      </c>
      <c r="AD28" s="22">
        <f t="shared" si="16"/>
        <v>400</v>
      </c>
    </row>
    <row r="29" spans="2:30" x14ac:dyDescent="0.3">
      <c r="B29" s="27"/>
      <c r="C29" s="20">
        <v>22</v>
      </c>
      <c r="D29" s="20" t="s">
        <v>62</v>
      </c>
      <c r="E29" s="21">
        <f t="shared" si="0"/>
        <v>22000</v>
      </c>
      <c r="F29" s="22">
        <f t="shared" si="1"/>
        <v>261.90476190476193</v>
      </c>
      <c r="G29" s="21">
        <f t="shared" si="2"/>
        <v>26400</v>
      </c>
      <c r="H29" s="22">
        <f t="shared" si="3"/>
        <v>314.28571428571428</v>
      </c>
      <c r="I29" s="21">
        <f t="shared" si="4"/>
        <v>48400</v>
      </c>
      <c r="J29" s="22">
        <f t="shared" si="17"/>
        <v>576.19047619047615</v>
      </c>
      <c r="L29" s="27"/>
      <c r="M29" s="20">
        <v>22</v>
      </c>
      <c r="N29" s="20" t="s">
        <v>62</v>
      </c>
      <c r="O29" s="21">
        <f t="shared" si="5"/>
        <v>22000</v>
      </c>
      <c r="P29" s="22">
        <f t="shared" si="6"/>
        <v>261.90476190476193</v>
      </c>
      <c r="Q29" s="21">
        <f t="shared" si="7"/>
        <v>26400</v>
      </c>
      <c r="R29" s="22">
        <f t="shared" si="8"/>
        <v>314.28571428571428</v>
      </c>
      <c r="S29" s="21">
        <f t="shared" si="9"/>
        <v>48400</v>
      </c>
      <c r="T29" s="22">
        <f t="shared" si="10"/>
        <v>576.19047619047615</v>
      </c>
      <c r="V29" s="27"/>
      <c r="W29" s="20">
        <v>22</v>
      </c>
      <c r="X29" s="20" t="s">
        <v>62</v>
      </c>
      <c r="Y29" s="21">
        <f t="shared" si="11"/>
        <v>17600</v>
      </c>
      <c r="Z29" s="22">
        <f t="shared" si="12"/>
        <v>209.52380952380952</v>
      </c>
      <c r="AA29" s="21">
        <f t="shared" si="13"/>
        <v>22000</v>
      </c>
      <c r="AB29" s="22">
        <f t="shared" si="14"/>
        <v>261.90476190476193</v>
      </c>
      <c r="AC29" s="21">
        <f t="shared" si="15"/>
        <v>35200</v>
      </c>
      <c r="AD29" s="22">
        <f t="shared" si="16"/>
        <v>419.04761904761904</v>
      </c>
    </row>
    <row r="30" spans="2:30" x14ac:dyDescent="0.3">
      <c r="B30" s="27"/>
      <c r="C30" s="20">
        <v>23</v>
      </c>
      <c r="D30" s="20" t="s">
        <v>62</v>
      </c>
      <c r="E30" s="21">
        <f t="shared" si="0"/>
        <v>23000</v>
      </c>
      <c r="F30" s="22">
        <f t="shared" si="1"/>
        <v>273.8095238095238</v>
      </c>
      <c r="G30" s="21">
        <f t="shared" si="2"/>
        <v>27600</v>
      </c>
      <c r="H30" s="22">
        <f t="shared" si="3"/>
        <v>328.57142857142856</v>
      </c>
      <c r="I30" s="21">
        <f t="shared" si="4"/>
        <v>50600</v>
      </c>
      <c r="J30" s="22">
        <f t="shared" si="17"/>
        <v>602.38095238095241</v>
      </c>
      <c r="L30" s="27"/>
      <c r="M30" s="20">
        <v>23</v>
      </c>
      <c r="N30" s="20" t="s">
        <v>62</v>
      </c>
      <c r="O30" s="21">
        <f t="shared" si="5"/>
        <v>23000</v>
      </c>
      <c r="P30" s="22">
        <f t="shared" si="6"/>
        <v>273.8095238095238</v>
      </c>
      <c r="Q30" s="21">
        <f t="shared" si="7"/>
        <v>27600</v>
      </c>
      <c r="R30" s="22">
        <f t="shared" si="8"/>
        <v>328.57142857142856</v>
      </c>
      <c r="S30" s="21">
        <f t="shared" si="9"/>
        <v>50600</v>
      </c>
      <c r="T30" s="22">
        <f t="shared" si="10"/>
        <v>602.38095238095241</v>
      </c>
      <c r="V30" s="27"/>
      <c r="W30" s="20">
        <v>23</v>
      </c>
      <c r="X30" s="20" t="s">
        <v>62</v>
      </c>
      <c r="Y30" s="21">
        <f t="shared" si="11"/>
        <v>18400</v>
      </c>
      <c r="Z30" s="22">
        <f t="shared" si="12"/>
        <v>219.04761904761904</v>
      </c>
      <c r="AA30" s="21">
        <f t="shared" si="13"/>
        <v>23000</v>
      </c>
      <c r="AB30" s="22">
        <f t="shared" si="14"/>
        <v>273.8095238095238</v>
      </c>
      <c r="AC30" s="21">
        <f t="shared" si="15"/>
        <v>36800</v>
      </c>
      <c r="AD30" s="22">
        <f t="shared" si="16"/>
        <v>438.09523809523807</v>
      </c>
    </row>
    <row r="31" spans="2:30" x14ac:dyDescent="0.3">
      <c r="B31" s="27"/>
      <c r="C31" s="20">
        <v>24</v>
      </c>
      <c r="D31" s="20" t="s">
        <v>62</v>
      </c>
      <c r="E31" s="21">
        <f t="shared" si="0"/>
        <v>24000</v>
      </c>
      <c r="F31" s="22">
        <f t="shared" si="1"/>
        <v>285.71428571428572</v>
      </c>
      <c r="G31" s="21">
        <f t="shared" si="2"/>
        <v>28800</v>
      </c>
      <c r="H31" s="22">
        <f t="shared" si="3"/>
        <v>342.85714285714283</v>
      </c>
      <c r="I31" s="21">
        <f t="shared" si="4"/>
        <v>52800</v>
      </c>
      <c r="J31" s="22">
        <f t="shared" si="17"/>
        <v>628.57142857142856</v>
      </c>
      <c r="L31" s="27"/>
      <c r="M31" s="20">
        <v>24</v>
      </c>
      <c r="N31" s="20" t="s">
        <v>62</v>
      </c>
      <c r="O31" s="21">
        <f t="shared" si="5"/>
        <v>24000</v>
      </c>
      <c r="P31" s="22">
        <f t="shared" si="6"/>
        <v>285.71428571428572</v>
      </c>
      <c r="Q31" s="21">
        <f t="shared" si="7"/>
        <v>28800</v>
      </c>
      <c r="R31" s="22">
        <f t="shared" si="8"/>
        <v>342.85714285714283</v>
      </c>
      <c r="S31" s="21">
        <f t="shared" si="9"/>
        <v>52800</v>
      </c>
      <c r="T31" s="22">
        <f t="shared" si="10"/>
        <v>628.57142857142856</v>
      </c>
      <c r="V31" s="27"/>
      <c r="W31" s="20">
        <v>24</v>
      </c>
      <c r="X31" s="20" t="s">
        <v>62</v>
      </c>
      <c r="Y31" s="21">
        <f t="shared" si="11"/>
        <v>19200</v>
      </c>
      <c r="Z31" s="22">
        <f t="shared" si="12"/>
        <v>228.57142857142858</v>
      </c>
      <c r="AA31" s="21">
        <f t="shared" si="13"/>
        <v>24000</v>
      </c>
      <c r="AB31" s="22">
        <f t="shared" si="14"/>
        <v>285.71428571428572</v>
      </c>
      <c r="AC31" s="21">
        <f t="shared" si="15"/>
        <v>38400</v>
      </c>
      <c r="AD31" s="22">
        <f t="shared" si="16"/>
        <v>457.14285714285717</v>
      </c>
    </row>
    <row r="32" spans="2:30" x14ac:dyDescent="0.3">
      <c r="B32" s="27"/>
      <c r="C32" s="20">
        <v>25</v>
      </c>
      <c r="D32" s="20" t="s">
        <v>62</v>
      </c>
      <c r="E32" s="21">
        <f t="shared" si="0"/>
        <v>25000</v>
      </c>
      <c r="F32" s="22">
        <f t="shared" si="1"/>
        <v>297.61904761904759</v>
      </c>
      <c r="G32" s="21">
        <f t="shared" si="2"/>
        <v>30000</v>
      </c>
      <c r="H32" s="22">
        <f t="shared" si="3"/>
        <v>357.14285714285717</v>
      </c>
      <c r="I32" s="21">
        <f t="shared" si="4"/>
        <v>55000</v>
      </c>
      <c r="J32" s="22">
        <f t="shared" si="17"/>
        <v>654.76190476190482</v>
      </c>
      <c r="L32" s="27"/>
      <c r="M32" s="20">
        <v>25</v>
      </c>
      <c r="N32" s="20" t="s">
        <v>62</v>
      </c>
      <c r="O32" s="21">
        <f t="shared" si="5"/>
        <v>25000</v>
      </c>
      <c r="P32" s="22">
        <f t="shared" si="6"/>
        <v>297.61904761904759</v>
      </c>
      <c r="Q32" s="21">
        <f t="shared" si="7"/>
        <v>30000</v>
      </c>
      <c r="R32" s="22">
        <f t="shared" si="8"/>
        <v>357.14285714285717</v>
      </c>
      <c r="S32" s="21">
        <f t="shared" si="9"/>
        <v>55000</v>
      </c>
      <c r="T32" s="22">
        <f t="shared" si="10"/>
        <v>654.76190476190482</v>
      </c>
      <c r="V32" s="27"/>
      <c r="W32" s="20">
        <v>25</v>
      </c>
      <c r="X32" s="20" t="s">
        <v>62</v>
      </c>
      <c r="Y32" s="21">
        <f t="shared" si="11"/>
        <v>20000</v>
      </c>
      <c r="Z32" s="22">
        <f t="shared" si="12"/>
        <v>238.0952380952381</v>
      </c>
      <c r="AA32" s="21">
        <f t="shared" si="13"/>
        <v>25000</v>
      </c>
      <c r="AB32" s="22">
        <f t="shared" si="14"/>
        <v>297.61904761904759</v>
      </c>
      <c r="AC32" s="21">
        <f t="shared" si="15"/>
        <v>40000</v>
      </c>
      <c r="AD32" s="22">
        <f t="shared" si="16"/>
        <v>476.1904761904762</v>
      </c>
    </row>
    <row r="33" spans="2:30" x14ac:dyDescent="0.3">
      <c r="B33" s="27"/>
      <c r="C33" s="20">
        <v>26</v>
      </c>
      <c r="D33" s="20" t="s">
        <v>62</v>
      </c>
      <c r="E33" s="21">
        <f t="shared" si="0"/>
        <v>26000</v>
      </c>
      <c r="F33" s="22">
        <f t="shared" si="1"/>
        <v>309.52380952380952</v>
      </c>
      <c r="G33" s="21">
        <f t="shared" si="2"/>
        <v>31200</v>
      </c>
      <c r="H33" s="22">
        <f t="shared" si="3"/>
        <v>371.42857142857144</v>
      </c>
      <c r="I33" s="21">
        <f t="shared" si="4"/>
        <v>57200</v>
      </c>
      <c r="J33" s="22">
        <f t="shared" si="17"/>
        <v>680.95238095238096</v>
      </c>
      <c r="L33" s="27"/>
      <c r="M33" s="20">
        <v>26</v>
      </c>
      <c r="N33" s="20" t="s">
        <v>62</v>
      </c>
      <c r="O33" s="21">
        <f t="shared" si="5"/>
        <v>26000</v>
      </c>
      <c r="P33" s="22">
        <f t="shared" si="6"/>
        <v>309.52380952380952</v>
      </c>
      <c r="Q33" s="21">
        <f t="shared" si="7"/>
        <v>31200</v>
      </c>
      <c r="R33" s="22">
        <f t="shared" si="8"/>
        <v>371.42857142857144</v>
      </c>
      <c r="S33" s="21">
        <f t="shared" si="9"/>
        <v>57200</v>
      </c>
      <c r="T33" s="22">
        <f t="shared" si="10"/>
        <v>680.95238095238096</v>
      </c>
      <c r="V33" s="27"/>
      <c r="W33" s="20">
        <v>26</v>
      </c>
      <c r="X33" s="20" t="s">
        <v>62</v>
      </c>
      <c r="Y33" s="21">
        <f t="shared" si="11"/>
        <v>20800</v>
      </c>
      <c r="Z33" s="22">
        <f t="shared" si="12"/>
        <v>247.61904761904762</v>
      </c>
      <c r="AA33" s="21">
        <f t="shared" si="13"/>
        <v>26000</v>
      </c>
      <c r="AB33" s="22">
        <f t="shared" si="14"/>
        <v>309.52380952380952</v>
      </c>
      <c r="AC33" s="21">
        <f t="shared" si="15"/>
        <v>41600</v>
      </c>
      <c r="AD33" s="22">
        <f t="shared" si="16"/>
        <v>495.23809523809524</v>
      </c>
    </row>
    <row r="34" spans="2:30" x14ac:dyDescent="0.3">
      <c r="B34" s="27"/>
      <c r="C34" s="20">
        <v>27</v>
      </c>
      <c r="D34" s="20" t="s">
        <v>62</v>
      </c>
      <c r="E34" s="21">
        <f t="shared" si="0"/>
        <v>27000</v>
      </c>
      <c r="F34" s="22">
        <f t="shared" si="1"/>
        <v>321.42857142857144</v>
      </c>
      <c r="G34" s="21">
        <f t="shared" si="2"/>
        <v>32400</v>
      </c>
      <c r="H34" s="22">
        <f t="shared" si="3"/>
        <v>385.71428571428572</v>
      </c>
      <c r="I34" s="21">
        <f t="shared" si="4"/>
        <v>59400</v>
      </c>
      <c r="J34" s="22">
        <f t="shared" si="17"/>
        <v>707.14285714285711</v>
      </c>
      <c r="L34" s="27"/>
      <c r="M34" s="20">
        <v>27</v>
      </c>
      <c r="N34" s="20" t="s">
        <v>62</v>
      </c>
      <c r="O34" s="21">
        <f t="shared" si="5"/>
        <v>27000</v>
      </c>
      <c r="P34" s="22">
        <f t="shared" si="6"/>
        <v>321.42857142857144</v>
      </c>
      <c r="Q34" s="21">
        <f t="shared" si="7"/>
        <v>32400</v>
      </c>
      <c r="R34" s="22">
        <f t="shared" si="8"/>
        <v>385.71428571428572</v>
      </c>
      <c r="S34" s="21">
        <f t="shared" si="9"/>
        <v>59400</v>
      </c>
      <c r="T34" s="22">
        <f t="shared" si="10"/>
        <v>707.14285714285711</v>
      </c>
      <c r="V34" s="27"/>
      <c r="W34" s="20">
        <v>27</v>
      </c>
      <c r="X34" s="20" t="s">
        <v>62</v>
      </c>
      <c r="Y34" s="21">
        <f t="shared" si="11"/>
        <v>21600</v>
      </c>
      <c r="Z34" s="22">
        <f t="shared" si="12"/>
        <v>257.14285714285717</v>
      </c>
      <c r="AA34" s="21">
        <f t="shared" si="13"/>
        <v>27000</v>
      </c>
      <c r="AB34" s="22">
        <f t="shared" si="14"/>
        <v>321.42857142857144</v>
      </c>
      <c r="AC34" s="21">
        <f t="shared" si="15"/>
        <v>43200</v>
      </c>
      <c r="AD34" s="22">
        <f t="shared" si="16"/>
        <v>514.28571428571433</v>
      </c>
    </row>
    <row r="35" spans="2:30" x14ac:dyDescent="0.3">
      <c r="B35" s="27"/>
      <c r="C35" s="20">
        <v>28</v>
      </c>
      <c r="D35" s="20" t="s">
        <v>62</v>
      </c>
      <c r="E35" s="21">
        <f t="shared" si="0"/>
        <v>28000</v>
      </c>
      <c r="F35" s="22">
        <f t="shared" si="1"/>
        <v>333.33333333333331</v>
      </c>
      <c r="G35" s="21">
        <f t="shared" si="2"/>
        <v>33600</v>
      </c>
      <c r="H35" s="22">
        <f t="shared" si="3"/>
        <v>400</v>
      </c>
      <c r="I35" s="21">
        <f t="shared" si="4"/>
        <v>61600</v>
      </c>
      <c r="J35" s="22">
        <f t="shared" si="17"/>
        <v>733.33333333333337</v>
      </c>
      <c r="L35" s="27"/>
      <c r="M35" s="20">
        <v>28</v>
      </c>
      <c r="N35" s="20" t="s">
        <v>62</v>
      </c>
      <c r="O35" s="21">
        <f t="shared" si="5"/>
        <v>28000</v>
      </c>
      <c r="P35" s="22">
        <f t="shared" si="6"/>
        <v>333.33333333333331</v>
      </c>
      <c r="Q35" s="21">
        <f t="shared" si="7"/>
        <v>33600</v>
      </c>
      <c r="R35" s="22">
        <f t="shared" si="8"/>
        <v>400</v>
      </c>
      <c r="S35" s="21">
        <f t="shared" si="9"/>
        <v>61600</v>
      </c>
      <c r="T35" s="22">
        <f t="shared" si="10"/>
        <v>733.33333333333337</v>
      </c>
      <c r="V35" s="27"/>
      <c r="W35" s="20">
        <v>28</v>
      </c>
      <c r="X35" s="20" t="s">
        <v>62</v>
      </c>
      <c r="Y35" s="21">
        <f t="shared" si="11"/>
        <v>22400</v>
      </c>
      <c r="Z35" s="22">
        <f t="shared" si="12"/>
        <v>266.66666666666669</v>
      </c>
      <c r="AA35" s="21">
        <f t="shared" si="13"/>
        <v>28000</v>
      </c>
      <c r="AB35" s="22">
        <f t="shared" si="14"/>
        <v>333.33333333333331</v>
      </c>
      <c r="AC35" s="21">
        <f t="shared" si="15"/>
        <v>44800</v>
      </c>
      <c r="AD35" s="22">
        <f t="shared" si="16"/>
        <v>533.33333333333337</v>
      </c>
    </row>
    <row r="36" spans="2:30" x14ac:dyDescent="0.3">
      <c r="B36" s="27"/>
      <c r="C36" s="20">
        <v>29</v>
      </c>
      <c r="D36" s="20" t="s">
        <v>62</v>
      </c>
      <c r="E36" s="21">
        <f t="shared" si="0"/>
        <v>29000</v>
      </c>
      <c r="F36" s="22">
        <f t="shared" si="1"/>
        <v>345.23809523809524</v>
      </c>
      <c r="G36" s="21">
        <f t="shared" si="2"/>
        <v>34800</v>
      </c>
      <c r="H36" s="22">
        <f t="shared" si="3"/>
        <v>414.28571428571428</v>
      </c>
      <c r="I36" s="21">
        <f t="shared" si="4"/>
        <v>63800</v>
      </c>
      <c r="J36" s="22">
        <f t="shared" si="17"/>
        <v>759.52380952380952</v>
      </c>
      <c r="L36" s="27"/>
      <c r="M36" s="20">
        <v>29</v>
      </c>
      <c r="N36" s="20" t="s">
        <v>62</v>
      </c>
      <c r="O36" s="21">
        <f t="shared" si="5"/>
        <v>29000</v>
      </c>
      <c r="P36" s="22">
        <f t="shared" si="6"/>
        <v>345.23809523809524</v>
      </c>
      <c r="Q36" s="21">
        <f t="shared" si="7"/>
        <v>34800</v>
      </c>
      <c r="R36" s="22">
        <f t="shared" si="8"/>
        <v>414.28571428571428</v>
      </c>
      <c r="S36" s="21">
        <f t="shared" si="9"/>
        <v>63800</v>
      </c>
      <c r="T36" s="22">
        <f t="shared" si="10"/>
        <v>759.52380952380952</v>
      </c>
      <c r="V36" s="27"/>
      <c r="W36" s="20">
        <v>29</v>
      </c>
      <c r="X36" s="20" t="s">
        <v>62</v>
      </c>
      <c r="Y36" s="21">
        <f t="shared" si="11"/>
        <v>23200</v>
      </c>
      <c r="Z36" s="22">
        <f t="shared" si="12"/>
        <v>276.1904761904762</v>
      </c>
      <c r="AA36" s="21">
        <f t="shared" si="13"/>
        <v>29000</v>
      </c>
      <c r="AB36" s="22">
        <f t="shared" si="14"/>
        <v>345.23809523809524</v>
      </c>
      <c r="AC36" s="21">
        <f t="shared" si="15"/>
        <v>46400</v>
      </c>
      <c r="AD36" s="22">
        <f t="shared" si="16"/>
        <v>552.38095238095241</v>
      </c>
    </row>
    <row r="37" spans="2:30" x14ac:dyDescent="0.3">
      <c r="B37" s="27"/>
      <c r="C37" s="20">
        <v>30</v>
      </c>
      <c r="D37" s="20" t="s">
        <v>62</v>
      </c>
      <c r="E37" s="21">
        <f t="shared" si="0"/>
        <v>30000</v>
      </c>
      <c r="F37" s="22">
        <f t="shared" si="1"/>
        <v>357.14285714285717</v>
      </c>
      <c r="G37" s="21">
        <f t="shared" si="2"/>
        <v>36000</v>
      </c>
      <c r="H37" s="22">
        <f t="shared" si="3"/>
        <v>428.57142857142856</v>
      </c>
      <c r="I37" s="21">
        <f t="shared" si="4"/>
        <v>66000</v>
      </c>
      <c r="J37" s="22">
        <f t="shared" si="17"/>
        <v>785.71428571428567</v>
      </c>
      <c r="L37" s="27"/>
      <c r="M37" s="20">
        <v>30</v>
      </c>
      <c r="N37" s="20" t="s">
        <v>62</v>
      </c>
      <c r="O37" s="21">
        <f t="shared" si="5"/>
        <v>30000</v>
      </c>
      <c r="P37" s="22">
        <f t="shared" si="6"/>
        <v>357.14285714285717</v>
      </c>
      <c r="Q37" s="21">
        <f t="shared" si="7"/>
        <v>36000</v>
      </c>
      <c r="R37" s="22">
        <f t="shared" si="8"/>
        <v>428.57142857142856</v>
      </c>
      <c r="S37" s="21">
        <f t="shared" si="9"/>
        <v>66000</v>
      </c>
      <c r="T37" s="22">
        <f t="shared" si="10"/>
        <v>785.71428571428567</v>
      </c>
      <c r="V37" s="27"/>
      <c r="W37" s="20">
        <v>30</v>
      </c>
      <c r="X37" s="20" t="s">
        <v>62</v>
      </c>
      <c r="Y37" s="21">
        <f t="shared" si="11"/>
        <v>24000</v>
      </c>
      <c r="Z37" s="22">
        <f t="shared" si="12"/>
        <v>285.71428571428572</v>
      </c>
      <c r="AA37" s="21">
        <f t="shared" si="13"/>
        <v>30000</v>
      </c>
      <c r="AB37" s="22">
        <f t="shared" si="14"/>
        <v>357.14285714285717</v>
      </c>
      <c r="AC37" s="21">
        <f t="shared" si="15"/>
        <v>48000</v>
      </c>
      <c r="AD37" s="22">
        <f t="shared" si="16"/>
        <v>571.42857142857144</v>
      </c>
    </row>
  </sheetData>
  <mergeCells count="12">
    <mergeCell ref="V4:AD4"/>
    <mergeCell ref="Y6:Z6"/>
    <mergeCell ref="AA6:AB6"/>
    <mergeCell ref="AC6:AD6"/>
    <mergeCell ref="B4:J4"/>
    <mergeCell ref="E6:F6"/>
    <mergeCell ref="G6:H6"/>
    <mergeCell ref="I6:J6"/>
    <mergeCell ref="L4:T4"/>
    <mergeCell ref="O6:P6"/>
    <mergeCell ref="Q6:R6"/>
    <mergeCell ref="S6:T6"/>
  </mergeCells>
  <pageMargins left="0.7" right="0.7" top="0.75" bottom="0.75" header="0.3" footer="0.3"/>
  <ignoredErrors>
    <ignoredError sqref="G9:G12 I9:I12 Q9:AD14 G14:G37 I14:I37 G13:I13 Q16:AD37 Q15:S15 U15:AD1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A400C-7AFA-416E-B5B8-926473F753FC}">
  <dimension ref="B1:O18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1" customWidth="1"/>
    <col min="2" max="2" width="9.44140625" style="32" customWidth="1"/>
    <col min="3" max="5" width="9.109375" style="1" customWidth="1"/>
    <col min="6" max="6" width="3.33203125" style="1" customWidth="1"/>
    <col min="7" max="7" width="9.44140625" style="32" customWidth="1"/>
    <col min="8" max="10" width="9.109375" style="1" customWidth="1"/>
    <col min="11" max="11" width="3.33203125" style="1" customWidth="1"/>
    <col min="12" max="12" width="9.44140625" style="32" customWidth="1"/>
    <col min="13" max="15" width="9.109375" style="1" customWidth="1"/>
    <col min="16" max="16384" width="11.44140625" style="1"/>
  </cols>
  <sheetData>
    <row r="1" spans="2:15" ht="8.5500000000000007" customHeight="1" x14ac:dyDescent="0.3"/>
    <row r="2" spans="2:15" ht="37.950000000000003" customHeight="1" x14ac:dyDescent="0.3">
      <c r="B2" s="76" t="s">
        <v>38</v>
      </c>
      <c r="C2" s="11"/>
      <c r="D2" s="10"/>
      <c r="E2" s="10"/>
      <c r="F2" s="13"/>
      <c r="G2" s="33"/>
      <c r="H2" s="11"/>
      <c r="I2" s="10"/>
      <c r="J2" s="10"/>
      <c r="K2" s="13"/>
      <c r="L2" s="33"/>
      <c r="M2" s="11"/>
      <c r="N2" s="10"/>
      <c r="O2" s="10"/>
    </row>
    <row r="3" spans="2:15" ht="8.5500000000000007" customHeight="1" x14ac:dyDescent="0.3"/>
    <row r="4" spans="2:15" ht="15.6" x14ac:dyDescent="0.3">
      <c r="B4" s="267" t="s">
        <v>16</v>
      </c>
      <c r="C4" s="267"/>
      <c r="D4" s="267"/>
      <c r="E4" s="267"/>
      <c r="G4" s="267" t="s">
        <v>17</v>
      </c>
      <c r="H4" s="267"/>
      <c r="I4" s="267"/>
      <c r="J4" s="267"/>
      <c r="L4" s="267" t="s">
        <v>18</v>
      </c>
      <c r="M4" s="267"/>
      <c r="N4" s="267"/>
      <c r="O4" s="267"/>
    </row>
    <row r="5" spans="2:15" ht="8.5500000000000007" customHeight="1" x14ac:dyDescent="0.3"/>
    <row r="6" spans="2:15" x14ac:dyDescent="0.3">
      <c r="B6" s="27"/>
      <c r="C6" s="38" t="s">
        <v>0</v>
      </c>
      <c r="D6" s="38" t="s">
        <v>26</v>
      </c>
      <c r="E6" s="28" t="s">
        <v>27</v>
      </c>
      <c r="G6" s="27"/>
      <c r="H6" s="38" t="s">
        <v>0</v>
      </c>
      <c r="I6" s="38" t="s">
        <v>26</v>
      </c>
      <c r="J6" s="28" t="s">
        <v>27</v>
      </c>
      <c r="L6" s="27"/>
      <c r="M6" s="38" t="s">
        <v>0</v>
      </c>
      <c r="N6" s="38" t="s">
        <v>26</v>
      </c>
      <c r="O6" s="28" t="s">
        <v>27</v>
      </c>
    </row>
    <row r="7" spans="2:15" s="26" customFormat="1" ht="13.8" x14ac:dyDescent="0.3">
      <c r="B7" s="44" t="s">
        <v>39</v>
      </c>
      <c r="C7" s="69">
        <v>0.7</v>
      </c>
      <c r="D7" s="69">
        <v>0.3</v>
      </c>
      <c r="E7" s="70">
        <f>SUM(C7:D7)</f>
        <v>1</v>
      </c>
      <c r="G7" s="44" t="s">
        <v>39</v>
      </c>
      <c r="H7" s="69">
        <v>1</v>
      </c>
      <c r="I7" s="69">
        <v>0</v>
      </c>
      <c r="J7" s="70">
        <f>SUM(H7:I7)</f>
        <v>1</v>
      </c>
      <c r="L7" s="44" t="s">
        <v>39</v>
      </c>
      <c r="M7" s="69">
        <v>0.9</v>
      </c>
      <c r="N7" s="69">
        <v>0.1</v>
      </c>
      <c r="O7" s="70">
        <f>SUM(M7:N7)</f>
        <v>1</v>
      </c>
    </row>
    <row r="8" spans="2:15" s="26" customFormat="1" ht="13.8" x14ac:dyDescent="0.3">
      <c r="B8" s="44" t="s">
        <v>28</v>
      </c>
      <c r="C8" s="71">
        <v>2.6</v>
      </c>
      <c r="D8" s="77">
        <v>1.45</v>
      </c>
      <c r="E8" s="72">
        <v>2.0249999999999999</v>
      </c>
      <c r="G8" s="44" t="s">
        <v>28</v>
      </c>
      <c r="H8" s="71">
        <v>2.6</v>
      </c>
      <c r="I8" s="71" t="s">
        <v>1</v>
      </c>
      <c r="J8" s="72">
        <v>2.6</v>
      </c>
      <c r="L8" s="44" t="s">
        <v>28</v>
      </c>
      <c r="M8" s="71">
        <v>2.6</v>
      </c>
      <c r="N8" s="77">
        <v>1.8</v>
      </c>
      <c r="O8" s="72">
        <v>2.2000000000000002</v>
      </c>
    </row>
    <row r="9" spans="2:15" s="26" customFormat="1" x14ac:dyDescent="0.3">
      <c r="B9" s="34" t="s">
        <v>32</v>
      </c>
      <c r="C9" s="1"/>
      <c r="D9" s="1"/>
      <c r="E9" s="63">
        <f>SUMPRODUCT(C8:D8,C7:D7)/SUM(C7:D7)</f>
        <v>2.2549999999999999</v>
      </c>
      <c r="G9" s="34" t="s">
        <v>33</v>
      </c>
      <c r="H9" s="1"/>
      <c r="I9" s="1"/>
      <c r="J9" s="63">
        <f>SUMPRODUCT(H8:I8,H7:I7)/SUM(H7:I7)</f>
        <v>2.6</v>
      </c>
      <c r="L9" s="34" t="s">
        <v>34</v>
      </c>
      <c r="M9" s="1"/>
      <c r="N9" s="1"/>
      <c r="O9" s="63">
        <f>SUMPRODUCT(M8:N8,M7:N7)/SUM(M7:N7)</f>
        <v>2.5200000000000005</v>
      </c>
    </row>
    <row r="10" spans="2:15" ht="8.5500000000000007" customHeight="1" x14ac:dyDescent="0.3">
      <c r="G10" s="1"/>
      <c r="L10" s="1"/>
      <c r="N10" s="32"/>
    </row>
    <row r="11" spans="2:15" s="26" customFormat="1" ht="13.8" x14ac:dyDescent="0.3">
      <c r="B11" s="27"/>
      <c r="C11" s="61"/>
      <c r="D11" s="50"/>
      <c r="E11" s="62"/>
      <c r="G11" s="44" t="s">
        <v>39</v>
      </c>
      <c r="H11" s="69">
        <v>0.3</v>
      </c>
      <c r="I11" s="69">
        <v>0.7</v>
      </c>
      <c r="J11" s="70">
        <f>SUM(H11:I11)</f>
        <v>1</v>
      </c>
      <c r="L11" s="44"/>
      <c r="M11" s="61"/>
      <c r="N11" s="50"/>
      <c r="O11" s="62"/>
    </row>
    <row r="12" spans="2:15" s="26" customFormat="1" ht="13.8" x14ac:dyDescent="0.3">
      <c r="B12" s="27"/>
      <c r="C12" s="61"/>
      <c r="D12" s="50"/>
      <c r="E12" s="62"/>
      <c r="G12" s="44" t="s">
        <v>28</v>
      </c>
      <c r="H12" s="71">
        <v>2.6</v>
      </c>
      <c r="I12" s="77">
        <v>2</v>
      </c>
      <c r="J12" s="72">
        <v>2.2999999999999998</v>
      </c>
      <c r="L12" s="44"/>
      <c r="M12" s="61"/>
      <c r="N12" s="50"/>
      <c r="O12" s="62"/>
    </row>
    <row r="13" spans="2:15" s="26" customFormat="1" x14ac:dyDescent="0.3">
      <c r="B13" s="27"/>
      <c r="C13" s="61"/>
      <c r="D13" s="50"/>
      <c r="E13" s="62"/>
      <c r="G13" s="34" t="s">
        <v>35</v>
      </c>
      <c r="H13" s="1"/>
      <c r="I13" s="1"/>
      <c r="J13" s="63">
        <f>SUMPRODUCT(H12:I12,H11:I11)/SUM(H11:I11)</f>
        <v>2.1799999999999997</v>
      </c>
      <c r="L13" s="44"/>
      <c r="M13" s="61"/>
      <c r="N13" s="50"/>
      <c r="O13" s="62"/>
    </row>
    <row r="14" spans="2:15" ht="8.5500000000000007" customHeight="1" x14ac:dyDescent="0.3">
      <c r="G14" s="1"/>
      <c r="H14" s="32"/>
      <c r="L14" s="1"/>
      <c r="N14" s="32"/>
    </row>
    <row r="15" spans="2:15" s="26" customFormat="1" ht="13.8" x14ac:dyDescent="0.3">
      <c r="G15" s="44" t="s">
        <v>39</v>
      </c>
      <c r="H15" s="69">
        <f>AVERAGE(H7,H11)</f>
        <v>0.65</v>
      </c>
      <c r="I15" s="69">
        <f>AVERAGE(I7,I11)</f>
        <v>0.35</v>
      </c>
      <c r="J15" s="70">
        <f>SUM(H15:I15)</f>
        <v>1</v>
      </c>
    </row>
    <row r="16" spans="2:15" x14ac:dyDescent="0.3">
      <c r="G16" s="44" t="s">
        <v>28</v>
      </c>
      <c r="H16" s="71">
        <f>AVERAGE(H8,H12)</f>
        <v>2.6</v>
      </c>
      <c r="I16" s="71">
        <f>AVERAGE(I8,I12)</f>
        <v>2</v>
      </c>
      <c r="J16" s="72">
        <f>AVERAGE(H16:I16)</f>
        <v>2.2999999999999998</v>
      </c>
    </row>
    <row r="17" spans="2:15" ht="8.5500000000000007" customHeight="1" thickBot="1" x14ac:dyDescent="0.35">
      <c r="G17" s="1"/>
      <c r="L17" s="1"/>
      <c r="N17" s="32"/>
    </row>
    <row r="18" spans="2:15" ht="15" thickBot="1" x14ac:dyDescent="0.35">
      <c r="B18" s="73" t="s">
        <v>36</v>
      </c>
      <c r="C18" s="74"/>
      <c r="D18" s="74"/>
      <c r="E18" s="75">
        <f>SUMPRODUCT(C8:D8,C7:D7)/SUM(C7:D7)</f>
        <v>2.2549999999999999</v>
      </c>
      <c r="G18" s="73" t="s">
        <v>36</v>
      </c>
      <c r="H18" s="74"/>
      <c r="I18" s="74"/>
      <c r="J18" s="75">
        <f>SUMPRODUCT(H16:I16,H15:I15)/SUM(H15:I15)</f>
        <v>2.39</v>
      </c>
      <c r="L18" s="73" t="s">
        <v>36</v>
      </c>
      <c r="M18" s="74"/>
      <c r="N18" s="74"/>
      <c r="O18" s="75">
        <f>SUMPRODUCT(M8:N8,M7:N7)/SUM(M7:N7)</f>
        <v>2.5200000000000005</v>
      </c>
    </row>
  </sheetData>
  <mergeCells count="3">
    <mergeCell ref="B4:E4"/>
    <mergeCell ref="G4:J4"/>
    <mergeCell ref="L4:O4"/>
  </mergeCells>
  <pageMargins left="0.7" right="0.7" top="0.75" bottom="0.75" header="0.3" footer="0.3"/>
  <ignoredErrors>
    <ignoredError sqref="J13 O9:O18 E9:E18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6789-05F4-4085-9C3A-E0903198C037}">
  <dimension ref="B1:AA13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11.44140625" defaultRowHeight="14.4" x14ac:dyDescent="0.3"/>
  <cols>
    <col min="1" max="1" width="1.44140625" style="1" customWidth="1"/>
    <col min="2" max="2" width="7.44140625" style="32" customWidth="1"/>
    <col min="3" max="3" width="8.77734375" style="1" customWidth="1"/>
    <col min="4" max="9" width="7.6640625" style="1" customWidth="1"/>
    <col min="10" max="10" width="3.33203125" style="1" customWidth="1"/>
    <col min="11" max="11" width="7.44140625" style="32" customWidth="1"/>
    <col min="12" max="12" width="8.77734375" style="1" customWidth="1"/>
    <col min="13" max="18" width="7.6640625" style="1" customWidth="1"/>
    <col min="19" max="19" width="3.33203125" style="1" customWidth="1"/>
    <col min="20" max="20" width="7.44140625" style="32" customWidth="1"/>
    <col min="21" max="21" width="8.77734375" style="1" customWidth="1"/>
    <col min="22" max="27" width="7.6640625" style="1" customWidth="1"/>
    <col min="28" max="16384" width="11.44140625" style="1"/>
  </cols>
  <sheetData>
    <row r="1" spans="2:27" ht="8.5500000000000007" customHeight="1" x14ac:dyDescent="0.3"/>
    <row r="2" spans="2:27" ht="37.950000000000003" customHeight="1" x14ac:dyDescent="0.3">
      <c r="B2" s="76" t="s">
        <v>30</v>
      </c>
      <c r="C2" s="12"/>
      <c r="D2" s="11"/>
      <c r="E2" s="10"/>
      <c r="F2" s="10"/>
      <c r="G2" s="10"/>
      <c r="H2" s="10"/>
      <c r="I2" s="10"/>
      <c r="J2" s="13"/>
      <c r="K2" s="33"/>
      <c r="L2" s="12"/>
      <c r="M2" s="11"/>
      <c r="N2" s="10"/>
      <c r="O2" s="10"/>
      <c r="P2" s="10"/>
      <c r="Q2" s="10"/>
      <c r="R2" s="10"/>
      <c r="S2" s="13"/>
      <c r="T2" s="33"/>
      <c r="U2" s="12"/>
      <c r="V2" s="11"/>
      <c r="W2" s="10"/>
      <c r="X2" s="10"/>
      <c r="Y2" s="10"/>
      <c r="Z2" s="10"/>
      <c r="AA2" s="10"/>
    </row>
    <row r="3" spans="2:27" ht="8.5500000000000007" customHeight="1" x14ac:dyDescent="0.3"/>
    <row r="4" spans="2:27" ht="15.6" x14ac:dyDescent="0.3">
      <c r="B4" s="267" t="s">
        <v>16</v>
      </c>
      <c r="C4" s="267"/>
      <c r="D4" s="267"/>
      <c r="E4" s="267"/>
      <c r="F4" s="267"/>
      <c r="G4" s="267"/>
      <c r="H4" s="267"/>
      <c r="I4" s="267"/>
      <c r="K4" s="267" t="s">
        <v>17</v>
      </c>
      <c r="L4" s="267"/>
      <c r="M4" s="267"/>
      <c r="N4" s="267"/>
      <c r="O4" s="267"/>
      <c r="P4" s="267"/>
      <c r="Q4" s="267"/>
      <c r="R4" s="267"/>
      <c r="T4" s="267" t="s">
        <v>18</v>
      </c>
      <c r="U4" s="267"/>
      <c r="V4" s="267"/>
      <c r="W4" s="267"/>
      <c r="X4" s="267"/>
      <c r="Y4" s="267"/>
      <c r="Z4" s="267"/>
      <c r="AA4" s="267"/>
    </row>
    <row r="5" spans="2:27" ht="8.5500000000000007" customHeight="1" thickBot="1" x14ac:dyDescent="0.35"/>
    <row r="6" spans="2:27" x14ac:dyDescent="0.3">
      <c r="D6" s="278" t="s">
        <v>24</v>
      </c>
      <c r="E6" s="279"/>
      <c r="F6" s="279"/>
      <c r="G6" s="278" t="s">
        <v>25</v>
      </c>
      <c r="H6" s="279"/>
      <c r="I6" s="280"/>
      <c r="M6" s="278" t="s">
        <v>24</v>
      </c>
      <c r="N6" s="279"/>
      <c r="O6" s="279"/>
      <c r="P6" s="278" t="s">
        <v>25</v>
      </c>
      <c r="Q6" s="279"/>
      <c r="R6" s="280"/>
      <c r="V6" s="278" t="s">
        <v>24</v>
      </c>
      <c r="W6" s="279"/>
      <c r="X6" s="279"/>
      <c r="Y6" s="278" t="s">
        <v>25</v>
      </c>
      <c r="Z6" s="279"/>
      <c r="AA6" s="280"/>
    </row>
    <row r="7" spans="2:27" x14ac:dyDescent="0.3">
      <c r="B7" s="27"/>
      <c r="C7" s="45" t="s">
        <v>31</v>
      </c>
      <c r="D7" s="47" t="s">
        <v>0</v>
      </c>
      <c r="E7" s="38" t="s">
        <v>26</v>
      </c>
      <c r="F7" s="45" t="s">
        <v>27</v>
      </c>
      <c r="G7" s="47" t="s">
        <v>0</v>
      </c>
      <c r="H7" s="38" t="s">
        <v>26</v>
      </c>
      <c r="I7" s="53" t="s">
        <v>27</v>
      </c>
      <c r="K7" s="27"/>
      <c r="L7" s="45" t="s">
        <v>31</v>
      </c>
      <c r="M7" s="47" t="s">
        <v>0</v>
      </c>
      <c r="N7" s="38" t="s">
        <v>26</v>
      </c>
      <c r="O7" s="45" t="s">
        <v>27</v>
      </c>
      <c r="P7" s="47" t="s">
        <v>0</v>
      </c>
      <c r="Q7" s="38" t="s">
        <v>26</v>
      </c>
      <c r="R7" s="53" t="s">
        <v>27</v>
      </c>
      <c r="T7" s="27"/>
      <c r="U7" s="45" t="s">
        <v>31</v>
      </c>
      <c r="V7" s="47" t="s">
        <v>0</v>
      </c>
      <c r="W7" s="38" t="s">
        <v>26</v>
      </c>
      <c r="X7" s="45" t="s">
        <v>27</v>
      </c>
      <c r="Y7" s="47" t="s">
        <v>0</v>
      </c>
      <c r="Z7" s="38" t="s">
        <v>26</v>
      </c>
      <c r="AA7" s="53" t="s">
        <v>27</v>
      </c>
    </row>
    <row r="8" spans="2:27" s="26" customFormat="1" ht="13.8" x14ac:dyDescent="0.3">
      <c r="B8" s="34" t="s">
        <v>32</v>
      </c>
      <c r="C8" s="52">
        <v>0.78</v>
      </c>
      <c r="D8" s="51">
        <v>533.25</v>
      </c>
      <c r="E8" s="25">
        <v>187</v>
      </c>
      <c r="F8" s="46">
        <f>SUM(D8:E8)</f>
        <v>720.25</v>
      </c>
      <c r="G8" s="51">
        <v>587.08333333333337</v>
      </c>
      <c r="H8" s="25">
        <v>224.41666666666666</v>
      </c>
      <c r="I8" s="60">
        <f>SUM(G8:H8)</f>
        <v>811.5</v>
      </c>
      <c r="K8" s="34" t="s">
        <v>33</v>
      </c>
      <c r="L8" s="52">
        <v>0.68</v>
      </c>
      <c r="M8" s="51">
        <v>1718.6666666666667</v>
      </c>
      <c r="N8" s="25">
        <v>0</v>
      </c>
      <c r="O8" s="46">
        <v>1718.6547619047601</v>
      </c>
      <c r="P8" s="51">
        <v>1910.4166666666667</v>
      </c>
      <c r="Q8" s="25">
        <v>0</v>
      </c>
      <c r="R8" s="60">
        <v>1910.4166666666699</v>
      </c>
      <c r="T8" s="34" t="s">
        <v>34</v>
      </c>
      <c r="U8" s="52">
        <v>0.75</v>
      </c>
      <c r="V8" s="51">
        <v>3503.3175355450426</v>
      </c>
      <c r="W8" s="25">
        <v>130.6477093206951</v>
      </c>
      <c r="X8" s="46">
        <v>3633.9652448657375</v>
      </c>
      <c r="Y8" s="51">
        <v>3696</v>
      </c>
      <c r="Z8" s="25">
        <v>137.83333333333334</v>
      </c>
      <c r="AA8" s="60">
        <v>3833.8333333333335</v>
      </c>
    </row>
    <row r="9" spans="2:27" s="26" customFormat="1" ht="13.8" x14ac:dyDescent="0.3">
      <c r="B9" s="27"/>
      <c r="C9" s="39"/>
      <c r="D9" s="48"/>
      <c r="E9" s="40"/>
      <c r="F9" s="41"/>
      <c r="G9" s="48"/>
      <c r="H9" s="40"/>
      <c r="I9" s="54"/>
      <c r="K9" s="34" t="s">
        <v>35</v>
      </c>
      <c r="L9" s="52">
        <v>0.67</v>
      </c>
      <c r="M9" s="51">
        <v>391.70853978170317</v>
      </c>
      <c r="N9" s="25">
        <v>848.18803257695424</v>
      </c>
      <c r="O9" s="46">
        <v>1239.8965723586575</v>
      </c>
      <c r="P9" s="51">
        <v>437.64166666666671</v>
      </c>
      <c r="Q9" s="25">
        <v>1015.2249999999999</v>
      </c>
      <c r="R9" s="60">
        <v>1452.866666666667</v>
      </c>
      <c r="T9" s="44"/>
      <c r="U9" s="39"/>
      <c r="V9" s="48"/>
      <c r="W9" s="40"/>
      <c r="X9" s="41"/>
      <c r="Y9" s="48"/>
      <c r="Z9" s="40"/>
      <c r="AA9" s="54"/>
    </row>
    <row r="10" spans="2:27" s="26" customFormat="1" ht="13.8" x14ac:dyDescent="0.3">
      <c r="B10" s="27"/>
      <c r="D10" s="49"/>
      <c r="G10" s="49"/>
      <c r="H10" s="27"/>
      <c r="I10" s="55"/>
      <c r="K10" s="42" t="s">
        <v>36</v>
      </c>
      <c r="L10" s="64">
        <f>AVERAGE(L8:L9)</f>
        <v>0.67500000000000004</v>
      </c>
      <c r="M10" s="65">
        <v>1055.1876032241848</v>
      </c>
      <c r="N10" s="66">
        <v>424.09401628847712</v>
      </c>
      <c r="O10" s="67">
        <v>1479.281619512662</v>
      </c>
      <c r="P10" s="65">
        <v>1174.0291666666667</v>
      </c>
      <c r="Q10" s="66">
        <v>507.61249999999995</v>
      </c>
      <c r="R10" s="68">
        <v>1681.6416666666667</v>
      </c>
      <c r="T10" s="44"/>
      <c r="V10" s="49"/>
      <c r="Y10" s="49"/>
      <c r="Z10" s="27"/>
      <c r="AA10" s="55"/>
    </row>
    <row r="11" spans="2:27" s="26" customFormat="1" ht="8.5500000000000007" customHeight="1" x14ac:dyDescent="0.3">
      <c r="B11" s="27"/>
      <c r="D11" s="49"/>
      <c r="G11" s="49"/>
      <c r="H11" s="27"/>
      <c r="I11" s="55"/>
      <c r="M11" s="49"/>
      <c r="P11" s="49"/>
      <c r="Q11" s="27"/>
      <c r="R11" s="55"/>
      <c r="V11" s="49"/>
      <c r="Y11" s="49"/>
      <c r="Z11" s="27"/>
      <c r="AA11" s="55"/>
    </row>
    <row r="12" spans="2:27" s="26" customFormat="1" thickBot="1" x14ac:dyDescent="0.35">
      <c r="B12" s="42" t="s">
        <v>37</v>
      </c>
      <c r="C12" s="43">
        <v>0.01</v>
      </c>
      <c r="D12" s="56">
        <f t="shared" ref="D12:I12" si="0">($C$12*D8)/$C$8</f>
        <v>6.8365384615384617</v>
      </c>
      <c r="E12" s="57">
        <f t="shared" si="0"/>
        <v>2.3974358974358974</v>
      </c>
      <c r="F12" s="58">
        <f t="shared" si="0"/>
        <v>9.2339743589743595</v>
      </c>
      <c r="G12" s="56">
        <f t="shared" si="0"/>
        <v>7.5267094017094021</v>
      </c>
      <c r="H12" s="57">
        <f t="shared" si="0"/>
        <v>2.8771367521367521</v>
      </c>
      <c r="I12" s="59">
        <f t="shared" si="0"/>
        <v>10.403846153846153</v>
      </c>
      <c r="K12" s="42" t="s">
        <v>37</v>
      </c>
      <c r="L12" s="43">
        <v>0.01</v>
      </c>
      <c r="M12" s="56">
        <f t="shared" ref="M12:R12" si="1">($L$12*M10)/$L$10</f>
        <v>15.632408936654588</v>
      </c>
      <c r="N12" s="57">
        <f t="shared" si="1"/>
        <v>6.2828743153848468</v>
      </c>
      <c r="O12" s="58">
        <f t="shared" si="1"/>
        <v>21.915283252039437</v>
      </c>
      <c r="P12" s="56">
        <f t="shared" si="1"/>
        <v>17.393024691358026</v>
      </c>
      <c r="Q12" s="57">
        <f t="shared" si="1"/>
        <v>7.5201851851851833</v>
      </c>
      <c r="R12" s="59">
        <f t="shared" si="1"/>
        <v>24.913209876543206</v>
      </c>
      <c r="T12" s="42" t="s">
        <v>37</v>
      </c>
      <c r="U12" s="43">
        <v>0.01</v>
      </c>
      <c r="V12" s="56">
        <f t="shared" ref="V12:AA12" si="2">($U$12*V8)/$U$8</f>
        <v>46.710900473933897</v>
      </c>
      <c r="W12" s="57">
        <f t="shared" si="2"/>
        <v>1.7419694576092679</v>
      </c>
      <c r="X12" s="58">
        <f t="shared" si="2"/>
        <v>48.452869931543169</v>
      </c>
      <c r="Y12" s="56">
        <f t="shared" si="2"/>
        <v>49.28</v>
      </c>
      <c r="Z12" s="57">
        <f t="shared" si="2"/>
        <v>1.837777777777778</v>
      </c>
      <c r="AA12" s="59">
        <f t="shared" si="2"/>
        <v>51.117777777777782</v>
      </c>
    </row>
    <row r="13" spans="2:27" s="26" customFormat="1" ht="13.8" x14ac:dyDescent="0.3">
      <c r="B13" s="27"/>
      <c r="K13" s="27"/>
      <c r="T13" s="27"/>
    </row>
  </sheetData>
  <mergeCells count="9">
    <mergeCell ref="Y6:AA6"/>
    <mergeCell ref="B4:I4"/>
    <mergeCell ref="K4:R4"/>
    <mergeCell ref="T4:AA4"/>
    <mergeCell ref="D6:F6"/>
    <mergeCell ref="G6:I6"/>
    <mergeCell ref="M6:O6"/>
    <mergeCell ref="V6:X6"/>
    <mergeCell ref="P6:R6"/>
  </mergeCells>
  <pageMargins left="0.7" right="0.7" top="0.75" bottom="0.75" header="0.3" footer="0.3"/>
  <ignoredErrors>
    <ignoredError sqref="F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SIMULATEUR SIMPLY</vt:lpstr>
      <vt:lpstr>SIMULATEUR LIBERTY</vt:lpstr>
      <vt:lpstr>SIMULATEUR CONNECTED</vt:lpstr>
      <vt:lpstr>COUTS - TECHNOS</vt:lpstr>
      <vt:lpstr>COUTS - ANNEXES</vt:lpstr>
      <vt:lpstr>COUTS - AGENCEMENT</vt:lpstr>
      <vt:lpstr>REVENUS - MIX &amp; MARGES</vt:lpstr>
      <vt:lpstr>REVENUS - IMPACT 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BERTRAND Thomas</dc:creator>
  <cp:keywords/>
  <dc:description/>
  <cp:lastModifiedBy>BERTRAND Thomas</cp:lastModifiedBy>
  <cp:revision/>
  <dcterms:created xsi:type="dcterms:W3CDTF">2025-06-11T07:25:15Z</dcterms:created>
  <dcterms:modified xsi:type="dcterms:W3CDTF">2026-02-23T13:48:28Z</dcterms:modified>
  <cp:category/>
  <cp:contentStatus/>
</cp:coreProperties>
</file>